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3f9fa224c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54c1dde86b4979"/>
    <x:sheet xmlns:r="http://schemas.openxmlformats.org/officeDocument/2006/relationships" name="Assumptions" sheetId="2" r:id="Rdd6fba79cefb4edc"/>
    <x:sheet xmlns:r="http://schemas.openxmlformats.org/officeDocument/2006/relationships" name="Itemized" sheetId="3" r:id="Raeab023041b84721"/>
    <x:sheet xmlns:r="http://schemas.openxmlformats.org/officeDocument/2006/relationships" name="Sources" sheetId="4" r:id="R993cd7b9df234eb0"/>
    <x:sheet xmlns:r="http://schemas.openxmlformats.org/officeDocument/2006/relationships" name="Coverage" sheetId="5" r:id="Rba22040062c64ab9"/>
    <x:sheet xmlns:r="http://schemas.openxmlformats.org/officeDocument/2006/relationships" name="Comparators" sheetId="6" r:id="Ra365784a63b543d8"/>
    <x:sheet xmlns:r="http://schemas.openxmlformats.org/officeDocument/2006/relationships" name="Replacement" sheetId="7" r:id="Rc4d619a9bdb74fd0"/>
    <x:sheet xmlns:r="http://schemas.openxmlformats.org/officeDocument/2006/relationships" name="Document facts" sheetId="8" r:id="R98991967dcc2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;[Red](&quot;$&quot;#,##0.00);-"/>
  </x:numFmts>
  <x:fonts count="11">
    <x:font>
      <x:sz val="11"/>
      <x:name val="Carlito"/>
    </x:font>
    <x:font>
      <x:sz val="10"/>
      <x:color rgb="FF1F2933"/>
      <x:name val="Arial"/>
    </x:font>
    <x:font>
      <x:b/>
      <x:sz val="18"/>
      <x:color rgb="FFFFFFFF"/>
      <x:name val="Arial"/>
    </x:font>
    <x:font>
      <x:i/>
      <x:sz val="10"/>
      <x:color rgb="FF5F6B75"/>
      <x:name val="Arial"/>
    </x:font>
    <x:font>
      <x:b/>
      <x:sz val="12"/>
      <x:color rgb="FF153B50"/>
      <x:name val="Arial"/>
    </x:font>
    <x:font>
      <x:b/>
      <x:sz val="10"/>
      <x:color rgb="FFFFFFFF"/>
      <x:name val="Arial"/>
    </x:font>
    <x:font>
      <x:b/>
      <x:sz val="10"/>
      <x:color rgb="FF1F2933"/>
      <x:name val="Arial"/>
    </x:font>
    <x:font>
      <x:b/>
      <x:sz val="11"/>
      <x:color rgb="FFFFFFFF"/>
      <x:name val="Arial"/>
    </x:font>
    <x:font>
      <x:sz val="9"/>
      <x:color rgb="FF1F2933"/>
      <x:name val="Arial"/>
    </x:font>
    <x:font>
      <x:sz val="9"/>
      <x:color rgb="FF188A63"/>
      <x:name val="Arial"/>
    </x:font>
    <x:font>
      <x:sz val="9"/>
      <x:color rgb="FF0563C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53B50"/>
      </x:patternFill>
    </x:fill>
    <x:fill>
      <x:patternFill patternType="solid">
        <x:fgColor rgb="FFEAF5FA"/>
      </x:patternFill>
    </x:fill>
    <x:fill>
      <x:patternFill patternType="solid">
        <x:fgColor rgb="FFDFF4EF"/>
      </x:patternFill>
    </x:fill>
    <x:fill>
      <x:patternFill patternType="solid">
        <x:fgColor rgb="FF087E83"/>
      </x:patternFill>
    </x:fill>
    <x:fill>
      <x:patternFill patternType="solid">
        <x:fgColor rgb="FFDDEBFF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7" fillId="5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8" fillId="6" borderId="0" xfId="0" applyNumberFormat="1" applyFont="1" applyFill="1" applyBorder="1"/>
    <x:xf numFmtId="200" fontId="8" fillId="6" borderId="0" xfId="0" applyNumberFormat="1" applyFont="1" applyFill="1" applyBorder="1"/>
    <x:xf numFmtId="200" fontId="9" fillId="0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0" fontId="8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76b768aa554a9c" /><Relationship Type="http://schemas.openxmlformats.org/officeDocument/2006/relationships/theme" Target="/xl/theme/theme1.xml" Id="Rbdf33e6ac62c401a" /><Relationship Type="http://schemas.openxmlformats.org/officeDocument/2006/relationships/sharedStrings" Target="/xl/sharedStrings.xml" Id="Re930194ac7e74908" /><Relationship Type="http://schemas.openxmlformats.org/officeDocument/2006/relationships/worksheet" Target="/xl/worksheets/sheet1.xml" Id="R3a54c1dde86b4979" /><Relationship Type="http://schemas.openxmlformats.org/officeDocument/2006/relationships/worksheet" Target="/xl/worksheets/sheet2.xml" Id="Rdd6fba79cefb4edc" /><Relationship Type="http://schemas.openxmlformats.org/officeDocument/2006/relationships/worksheet" Target="/xl/worksheets/sheet3.xml" Id="Raeab023041b84721" /><Relationship Type="http://schemas.openxmlformats.org/officeDocument/2006/relationships/worksheet" Target="/xl/worksheets/sheet4.xml" Id="R993cd7b9df234eb0" /><Relationship Type="http://schemas.openxmlformats.org/officeDocument/2006/relationships/worksheet" Target="/xl/worksheets/sheet5.xml" Id="Rba22040062c64ab9" /><Relationship Type="http://schemas.openxmlformats.org/officeDocument/2006/relationships/worksheet" Target="/xl/worksheets/sheet6.xml" Id="Ra365784a63b543d8" /><Relationship Type="http://schemas.openxmlformats.org/officeDocument/2006/relationships/worksheet" Target="/xl/worksheets/sheet7.xml" Id="Rc4d619a9bdb74fd0" /><Relationship Type="http://schemas.openxmlformats.org/officeDocument/2006/relationships/worksheet" Target="/xl/worksheets/sheet8.xml" Id="R98991967dcc24d98" /></Relationships>
</file>

<file path=xl/tables/table1.xml><?xml version="1.0" encoding="utf-8"?>
<x:table xmlns:x="http://schemas.openxmlformats.org/spreadsheetml/2006/main" id="1" name="ItemizedCosts" displayName="ItemizedCosts" ref="A4:O690" headerRowCount="1" totalsRowCount="0" totalsRowShown="0">
  <x:autoFilter ref="A4:O690"/>
  <x:tableColumns count="15">
    <x:tableColumn id="1" name="ID"/>
    <x:tableColumn id="2" name="Facet"/>
    <x:tableColumn id="3" name="Item"/>
    <x:tableColumn id="4" name="Unit"/>
    <x:tableColumn id="5" name="Qty"/>
    <x:tableColumn id="6" name="Low rate"/>
    <x:tableColumn id="7" name="Base rate"/>
    <x:tableColumn id="8" name="Bucket"/>
    <x:tableColumn id="9" name="High rate"/>
    <x:tableColumn id="10" name="Status"/>
    <x:tableColumn id="11" name="Source ID"/>
    <x:tableColumn id="12" name="Low total"/>
    <x:tableColumn id="13" name="Base total"/>
    <x:tableColumn id="14" name="High total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E52" headerRowCount="1" totalsRowCount="0" totalsRowShown="0">
  <x:autoFilter ref="A4:E52"/>
  <x:tableColumns count="5">
    <x:tableColumn id="1" name="Source ID"/>
    <x:tableColumn id="2" name="Title"/>
    <x:tableColumn id="3" name="URL"/>
    <x:tableColumn id="4" name="Basis"/>
    <x:tableColumn id="5" name="Checked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Table" displayName="CoverageTable" ref="A4:E519" headerRowCount="1" totalsRowCount="0" totalsRowShown="0">
  <x:autoFilter ref="A4:E519"/>
  <x:tableColumns count="5">
    <x:tableColumn id="1" name="ID"/>
    <x:tableColumn id="2" name="Area / item"/>
    <x:tableColumn id="3" name="Disposition"/>
    <x:tableColumn id="4" name="Evidence / link"/>
    <x:tableColumn id="5" name="Why it matt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aratorTable" displayName="ComparatorTable" ref="A4:E12" headerRowCount="1" totalsRowCount="0" totalsRowShown="0">
  <x:autoFilter ref="A4:E12"/>
  <x:tableColumns count="5">
    <x:tableColumn id="1" name="Comparator"/>
    <x:tableColumn id="2" name="Category"/>
    <x:tableColumn id="3" name="Published price / range"/>
    <x:tableColumn id="4" name="URL"/>
    <x:tableColumn id="5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lacementTable" displayName="ReplacementTable" ref="A4:F11" headerRowCount="1" totalsRowCount="0" totalsRowShown="0">
  <x:autoFilter ref="A4:F11"/>
  <x:tableColumns count="6">
    <x:tableColumn id="1" name="Module"/>
    <x:tableColumn id="2" name="Assumed hours"/>
    <x:tableColumn id="3" name="Allowance rate"/>
    <x:tableColumn id="4" name="Planning value"/>
    <x:tableColumn id="5" name="Vendor comparator"/>
    <x:tableColumn id="6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ctsTable" displayName="FactsTable" ref="A4:C10" headerRowCount="1" totalsRowCount="0" totalsRowShown="0">
  <x:autoFilter ref="A4:C10"/>
  <x:tableColumns count="3">
    <x:tableColumn id="1" name="Fact"/>
    <x:tableColumn id="2" name="Value"/>
    <x:tableColumn id="3" name="Ev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2ec7a99634d48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73718bab00340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7d2c76c7a9a4f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ac8392fa30c4e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07f28e0fe2e4a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4f630bd02d4405c" /></Relationships>
</file>

<file path=xl/worksheets/sheet1.xml><?xml version="1.0" encoding="utf-8"?>
<x:worksheet xmlns:x="http://schemas.openxmlformats.org/spreadsheetml/2006/main">
  <x:sheetPr>
    <x:tabColor rgb="FFF5C45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6" hidden="0" customWidth="1"/>
    <x:col min="7" max="7" width="12" hidden="0" customWidth="1"/>
    <x:col min="8" max="8" width="12" hidden="0" customWidth="1"/>
  </x:cols>
  <x:sheetData>
    <x:row r="1" ht="34" customHeight="1">
      <x:c r="A1" s="4" t="str">
        <x:v>Futures Friends | Full Year-1 Cost Book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7" t="str">
        <x:v>Editable, source-traceable model. Change the single scenario selector on Assumptions; every linked total recalculates. Planning allowances remain labeled where a vendor quote is required.</x:v>
      </x:c>
      <x:c r="B2" s="7"/>
      <x:c r="C2" s="7"/>
      <x:c r="D2" s="7"/>
      <x:c r="E2" s="7"/>
      <x:c r="F2" s="7"/>
      <x:c r="G2" s="7"/>
      <x:c r="H2" s="7"/>
      <x:c r="I2" s="7"/>
      <x:c r="J2" s="7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9" t="str">
        <x:v>Decision view — one location, ages 2–5, base planning case unless changed</x:v>
      </x:c>
      <x:c r="B4" s="9"/>
      <x:c r="C4" s="9"/>
      <x:c r="D4" s="9"/>
      <x:c r="E4" s="9"/>
      <x:c r="F4" s="9"/>
      <x:c r="G4" s="9"/>
      <x:c r="H4" s="9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8" customHeight="1">
      <x:c r="A6" s="13" t="str">
        <x:v>Measure</x:v>
      </x:c>
      <x:c r="B6" s="13" t="str">
        <x:v>Low</x:v>
      </x:c>
      <x:c r="C6" s="13" t="str">
        <x:v>Base</x:v>
      </x:c>
      <x:c r="D6" s="13" t="str">
        <x:v>High</x:v>
      </x:c>
      <x:c r="E6" s="13" t="str">
        <x:v>Active</x:v>
      </x:c>
      <x:c r="F6" s="13" t="str">
        <x:v>Source / interpretation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One-time costs</x:v>
      </x:c>
      <x:c r="B7" s="14" t="n">
        <x:f>Assumptions!$B$7</x:f>
        <x:v>1041702.0099999999</x:v>
      </x:c>
      <x:c r="C7" s="14" t="n">
        <x:f>Assumptions!$C$7</x:f>
        <x:v>1331255.33</x:v>
      </x:c>
      <x:c r="D7" s="14" t="n">
        <x:f>Assumptions!$D$7</x:f>
        <x:v>1812560.9600000002</x:v>
      </x:c>
      <x:c r="E7" s="14" t="n">
        <x:f>Assumptions!$E$7</x:f>
        <x:v>1331255.33</x:v>
      </x:c>
      <x:c r="F7" s="18" t="str">
        <x:v>Selected from model rows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Recurring year-1 costs</x:v>
      </x:c>
      <x:c r="B8" s="14" t="n">
        <x:f>Assumptions!$B$8</x:f>
        <x:v>1118444.089999999</x:v>
      </x:c>
      <x:c r="C8" s="14" t="n">
        <x:f>Assumptions!$C$8</x:f>
        <x:v>1266942.1800000004</x:v>
      </x:c>
      <x:c r="D8" s="14" t="n">
        <x:f>Assumptions!$D$8</x:f>
        <x:v>1477610.0699999987</x:v>
      </x:c>
      <x:c r="E8" s="14" t="n">
        <x:f>Assumptions!$E$8</x:f>
        <x:v>1266942.1800000004</x:v>
      </x:c>
      <x:c r="F8" s="18" t="str">
        <x:v>Selected from model rows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Inventory / launch goods</x:v>
      </x:c>
      <x:c r="B9" s="14" t="n">
        <x:f>Assumptions!$B$9</x:f>
        <x:v>21527.5</x:v>
      </x:c>
      <x:c r="C9" s="14" t="n">
        <x:f>Assumptions!$C$9</x:f>
        <x:v>24509.5</x:v>
      </x:c>
      <x:c r="D9" s="14" t="n">
        <x:f>Assumptions!$D$9</x:f>
        <x:v>28237</x:v>
      </x:c>
      <x:c r="E9" s="14" t="n">
        <x:f>Assumptions!$E$9</x:f>
        <x:v>24509.5</x:v>
      </x:c>
      <x:c r="F9" s="18" t="str">
        <x:v>Merchandise, tablets, materials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Refundable deposits</x:v>
      </x:c>
      <x:c r="B10" s="14" t="n">
        <x:f>Assumptions!$B$10</x:f>
        <x:v>7200</x:v>
      </x:c>
      <x:c r="C10" s="14" t="n">
        <x:f>Assumptions!$C$10</x:f>
        <x:v>9000</x:v>
      </x:c>
      <x:c r="D10" s="14" t="n">
        <x:f>Assumptions!$D$10</x:f>
        <x:v>11250</x:v>
      </x:c>
      <x:c r="E10" s="14" t="n">
        <x:f>Assumptions!$E$10</x:f>
        <x:v>9000</x:v>
      </x:c>
      <x:c r="F10" s="18" t="str">
        <x:v>Cash requirement, not expense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Reserve / contingency</x:v>
      </x:c>
      <x:c r="B11" s="14" t="n">
        <x:f>Assumptions!$B$11</x:f>
        <x:v>415839.76</x:v>
      </x:c>
      <x:c r="C11" s="14" t="n">
        <x:f>Assumptions!$C$11</x:f>
        <x:v>491500.85</x:v>
      </x:c>
      <x:c r="D11" s="14" t="n">
        <x:f>Assumptions!$D$11</x:f>
        <x:v>610243.12</x:v>
      </x:c>
      <x:c r="E11" s="14" t="n">
        <x:f>Assumptions!$E$11</x:f>
        <x:v>491500.85</x:v>
      </x:c>
      <x:c r="F11" s="18" t="str">
        <x:v>Model-derived reserve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Total year-1 cash requirement</x:v>
      </x:c>
      <x:c r="B12" s="14" t="n">
        <x:f>Assumptions!$B$12</x:f>
        <x:v>2604713.3599999985</x:v>
      </x:c>
      <x:c r="C12" s="14" t="n">
        <x:f>Assumptions!$C$12</x:f>
        <x:v>3123207.860000001</x:v>
      </x:c>
      <x:c r="D12" s="14" t="n">
        <x:f>Assumptions!$D$12</x:f>
        <x:v>3939901.149999999</x:v>
      </x:c>
      <x:c r="E12" s="14" t="n">
        <x:f>Assumptions!$E$12</x:f>
        <x:v>3123207.860000001</x:v>
      </x:c>
      <x:c r="F12" s="18" t="str">
        <x:v>All buckets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6" t="str">
        <x:v>Monthly recurring run-rate</x:v>
      </x:c>
      <x:c r="B13" s="17" t="n">
        <x:f>Assumptions!$B$13</x:f>
        <x:v>93203.67416666658</x:v>
      </x:c>
      <x:c r="C13" s="17" t="n">
        <x:f>Assumptions!$C$13</x:f>
        <x:v>105578.51500000003</x:v>
      </x:c>
      <x:c r="D13" s="17" t="n">
        <x:f>Assumptions!$D$13</x:f>
        <x:v>123134.17249999988</x:v>
      </x:c>
      <x:c r="E13" s="17" t="n">
        <x:f>Assumptions!$E$13</x:f>
        <x:v>105578.51500000003</x:v>
      </x:c>
      <x:c r="F13" s="19" t="str">
        <x:v>Annual recurring / 12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4" customHeight="1">
      <x:c r="A16" s="20" t="str">
        <x:v>What this workbook proves: every line has quantity, three scenario rates, bucket, status, notes, and a research source ID. “Quote required” stays visible instead of being presented as a vendor quote.</x:v>
      </x:c>
      <x:c r="B16" s="20"/>
      <x:c r="C16" s="20"/>
      <x:c r="D16" s="20"/>
      <x:c r="E16" s="20"/>
      <x:c r="F16" s="20"/>
      <x:c r="G16" s="20"/>
      <x:c r="H16" s="20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1:J1"/>
    <x:mergeCell ref="A2:J2"/>
    <x:mergeCell ref="A4:H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5C45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62" hidden="0" customWidth="1"/>
  </x:cols>
  <x:sheetData>
    <x:row r="1" ht="34" customHeight="1">
      <x:c r="A1" s="4" t="str">
        <x:v>Assumptions | single scenario selector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7" t="str">
        <x:v>Blue cells are editable inputs. Black formulas calculate within this sheet; green formulas link to the itemized model. Scenario selector drives the Active column.</x:v>
      </x:c>
      <x:c r="B2" s="7"/>
      <x:c r="C2" s="7"/>
      <x:c r="D2" s="7"/>
      <x:c r="E2" s="7"/>
      <x:c r="F2" s="7"/>
      <x:c r="G2" s="7"/>
      <x:c r="H2" s="7"/>
      <x:c r="I2" s="7"/>
      <x:c r="J2" s="7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13" t="str">
        <x:v>Control / calculation</x:v>
      </x:c>
      <x:c r="B4" s="13" t="str">
        <x:v>Low</x:v>
      </x:c>
      <x:c r="C4" s="13" t="str">
        <x:v>Base</x:v>
      </x:c>
      <x:c r="D4" s="13" t="str">
        <x:v>High</x:v>
      </x:c>
      <x:c r="E4" s="13" t="str">
        <x:v>Active</x:v>
      </x:c>
      <x:c r="F4" s="13" t="str">
        <x:v>Notes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1" t="str">
        <x:v>Scenario selector</x:v>
      </x:c>
      <x:c r="B5" s="21" t="str"/>
      <x:c r="C5" s="21" t="str"/>
      <x:c r="D5" s="21" t="str"/>
      <x:c r="E5" s="21" t="str">
        <x:v>Base</x:v>
      </x:c>
      <x:c r="F5" s="21" t="str">
        <x:v>Change E5 to Low, Base, or High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One-time costs</x:v>
      </x:c>
      <x:c r="B7" s="14" t="n">
        <x:f>SUM(Itemized!$L$5,Itemized!$L$6,Itemized!$L$7,Itemized!$L$8,Itemized!$L$9,Itemized!$L$10,Itemized!$L$11,Itemized!$L$12,Itemized!$L$13,Itemized!$L$14,Itemized!$L$15,Itemized!$L$16,Itemized!$L$17,Itemized!$L$18,Itemized!$L$19,Itemized!$L$20,Itemized!$L$21,Itemized!$L$22,Itemized!$L$23,Itemized!$L$24,Itemized!$L$25,Itemized!$L$26,Itemized!$L$27,Itemized!$L$28,Itemized!$L$29,Itemized!$L$30,Itemized!$L$31,Itemized!$L$32,Itemized!$L$33,Itemized!$L$34,Itemized!$L$35,Itemized!$L$36,Itemized!$L$37,Itemized!$L$38,Itemized!$L$39,Itemized!$L$40,Itemized!$L$41,Itemized!$L$42,Itemized!$L$43,Itemized!$L$44,Itemized!$L$45,Itemized!$L$46,Itemized!$L$47,Itemized!$L$48,Itemized!$L$49,Itemized!$L$50,Itemized!$L$51,Itemized!$L$52,Itemized!$L$53,Itemized!$L$54,Itemized!$L$55,Itemized!$L$56,Itemized!$L$57,Itemized!$L$58,Itemized!$L$59,Itemized!$L$60,Itemized!$L$61,Itemized!$L$62,Itemized!$L$63,Itemized!$L$64,Itemized!$L$65,Itemized!$L$66,Itemized!$L$67,Itemized!$L$68,Itemized!$L$69,Itemized!$L$70,Itemized!$L$71,Itemized!$L$72,Itemized!$L$73,Itemized!$L$74,Itemized!$L$75,Itemized!$L$76,Itemized!$L$77,Itemized!$L$78,Itemized!$L$79,Itemized!$L$80,Itemized!$L$81,Itemized!$L$82,Itemized!$L$83,Itemized!$L$84,Itemized!$L$85,Itemized!$L$86,Itemized!$L$87,Itemized!$L$88,Itemized!$L$89,Itemized!$L$90,Itemized!$L$91,Itemized!$L$92,Itemized!$L$94,Itemized!$L$96,Itemized!$L$97,Itemized!$L$98,Itemized!$L$99,Itemized!$L$100,Itemized!$L$101,Itemized!$L$102,Itemized!$L$103,Itemized!$L$104,Itemized!$L$105,Itemized!$L$106,Itemized!$L$107,Itemized!$L$109,Itemized!$L$113,Itemized!$L$116,Itemized!$L$117,Itemized!$L$118,Itemized!$L$119,Itemized!$L$120,Itemized!$L$121,Itemized!$L$122,Itemized!$L$123,Itemized!$L$124,Itemized!$L$125,Itemized!$L$126,Itemized!$L$127,Itemized!$L$128,Itemized!$L$129,Itemized!$L$130,Itemized!$L$132,Itemized!$L$133,Itemized!$L$134,Itemized!$L$135,Itemized!$L$136,Itemized!$L$138,Itemized!$L$139,Itemized!$L$142,Itemized!$L$151,Itemized!$L$153,Itemized!$L$159,Itemized!$L$160,Itemized!$L$187,Itemized!$L$190,Itemized!$L$191,Itemized!$L$192,Itemized!$L$198,Itemized!$L$199,Itemized!$L$204,Itemized!$L$205,Itemized!$L$206,Itemized!$L$207,Itemized!$L$208,Itemized!$L$209,Itemized!$L$210,Itemized!$L$211,Itemized!$L$212,Itemized!$L$213,Itemized!$L$214,Itemized!$L$215,Itemized!$L$216,Itemized!$L$217,Itemized!$L$218,Itemized!$L$219,Itemized!$L$225,Itemized!$L$232,Itemized!$L$234,Itemized!$L$235,Itemized!$L$237,Itemized!$L$240,Itemized!$L$244,Itemized!$L$247,Itemized!$L$248,Itemized!$L$249,Itemized!$L$250,Itemized!$L$251,Itemized!$L$252,Itemized!$L$253,Itemized!$L$254,Itemized!$L$255,Itemized!$L$256,Itemized!$L$257,Itemized!$L$258,Itemized!$L$259,Itemized!$L$260,Itemized!$L$261,Itemized!$L$262,Itemized!$L$276,Itemized!$L$277,Itemized!$L$278,Itemized!$L$284,Itemized!$L$293,Itemized!$L$294,Itemized!$L$295,Itemized!$L$296,Itemized!$L$297,Itemized!$L$298,Itemized!$L$300,Itemized!$L$302,Itemized!$L$303,Itemized!$L$304,Itemized!$L$305,Itemized!$L$306,Itemized!$L$307,Itemized!$L$308,Itemized!$L$309,Itemized!$L$310,Itemized!$L$311,Itemized!$L$312,Itemized!$L$313,Itemized!$L$314,Itemized!$L$315,Itemized!$L$316,Itemized!$L$319,Itemized!$L$320,Itemized!$L$321,Itemized!$L$322,Itemized!$L$323,Itemized!$L$341,Itemized!$L$345,Itemized!$L$354,Itemized!$L$357,Itemized!$L$358,Itemized!$L$359,Itemized!$L$360,Itemized!$L$361,Itemized!$L$362,Itemized!$L$363,Itemized!$L$364,Itemized!$L$365,Itemized!$L$441,Itemized!$L$443,Itemized!$L$446,Itemized!$L$447,Itemized!$L$448,Itemized!$L$452,Itemized!$L$453,Itemized!$L$454,Itemized!$L$455,Itemized!$L$458,Itemized!$L$459,Itemized!$L$460,Itemized!$L$461,Itemized!$L$462,Itemized!$L$463,Itemized!$L$464,Itemized!$L$465,Itemized!$L$466,Itemized!$L$467,Itemized!$L$469,Itemized!$L$470,Itemized!$L$630,Itemized!$L$631,Itemized!$L$632,Itemized!$L$633,Itemized!$L$634,Itemized!$L$635,Itemized!$L$636,Itemized!$L$637,Itemized!$L$638,Itemized!$L$639,Itemized!$L$640,Itemized!$L$641,Itemized!$L$642,Itemized!$L$643,Itemized!$L$644,Itemized!$L$645,Itemized!$L$646,Itemized!$L$647,Itemized!$L$648,Itemized!$L$649,Itemized!$L$650,Itemized!$L$651,Itemized!$L$652,Itemized!$L$653,Itemized!$L$654,Itemized!$L$655,Itemized!$L$656,Itemized!$L$657,Itemized!$L$658,Itemized!$L$659,Itemized!$L$660,Itemized!$L$661,Itemized!$L$662,Itemized!$L$663,Itemized!$L$664,Itemized!$L$665,Itemized!$L$666,Itemized!$L$667,Itemized!$L$668,Itemized!$L$669,Itemized!$L$670,Itemized!$L$671,Itemized!$L$672,Itemized!$L$673,Itemized!$L$674,Itemized!$L$675,Itemized!$L$676,Itemized!$L$677,Itemized!$L$678,Itemized!$L$679,Itemized!$L$680,Itemized!$L$681,Itemized!$L$682,Itemized!$L$683,Itemized!$L$684,Itemized!$L$685,Itemized!$L$686)</x:f>
        <x:v>1041702.0099999999</x:v>
      </x:c>
      <x:c r="C7" s="14" t="n">
        <x:f>SUM(Itemized!$M$5,Itemized!$M$6,Itemized!$M$7,Itemized!$M$8,Itemized!$M$9,Itemized!$M$10,Itemized!$M$11,Itemized!$M$12,Itemized!$M$13,Itemized!$M$14,Itemized!$M$15,Itemized!$M$16,Itemized!$M$17,Itemized!$M$18,Itemized!$M$19,Itemized!$M$20,Itemized!$M$21,Itemized!$M$22,Itemized!$M$23,Itemized!$M$24,Itemized!$M$25,Itemized!$M$26,Itemized!$M$27,Itemized!$M$28,Itemized!$M$29,Itemized!$M$30,Itemized!$M$31,Itemized!$M$32,Itemized!$M$33,Itemized!$M$34,Itemized!$M$35,Itemized!$M$36,Itemized!$M$37,Itemized!$M$38,Itemized!$M$39,Itemized!$M$40,Itemized!$M$41,Itemized!$M$42,Itemized!$M$43,Itemized!$M$44,Itemized!$M$45,Itemized!$M$46,Itemized!$M$47,Itemized!$M$48,Itemized!$M$49,Itemized!$M$50,Itemized!$M$51,Itemized!$M$52,Itemized!$M$53,Itemized!$M$54,Itemized!$M$55,Itemized!$M$56,Itemized!$M$57,Itemized!$M$58,Itemized!$M$59,Itemized!$M$60,Itemized!$M$61,Itemized!$M$62,Itemized!$M$63,Itemized!$M$64,Itemized!$M$65,Itemized!$M$66,Itemized!$M$67,Itemized!$M$68,Itemized!$M$69,Itemized!$M$70,Itemized!$M$71,Itemized!$M$72,Itemized!$M$73,Itemized!$M$74,Itemized!$M$75,Itemized!$M$76,Itemized!$M$77,Itemized!$M$78,Itemized!$M$79,Itemized!$M$80,Itemized!$M$81,Itemized!$M$82,Itemized!$M$83,Itemized!$M$84,Itemized!$M$85,Itemized!$M$86,Itemized!$M$87,Itemized!$M$88,Itemized!$M$89,Itemized!$M$90,Itemized!$M$91,Itemized!$M$92,Itemized!$M$94,Itemized!$M$96,Itemized!$M$97,Itemized!$M$98,Itemized!$M$99,Itemized!$M$100,Itemized!$M$101,Itemized!$M$102,Itemized!$M$103,Itemized!$M$104,Itemized!$M$105,Itemized!$M$106,Itemized!$M$107,Itemized!$M$109,Itemized!$M$113,Itemized!$M$116,Itemized!$M$117,Itemized!$M$118,Itemized!$M$119,Itemized!$M$120,Itemized!$M$121,Itemized!$M$122,Itemized!$M$123,Itemized!$M$124,Itemized!$M$125,Itemized!$M$126,Itemized!$M$127,Itemized!$M$128,Itemized!$M$129,Itemized!$M$130,Itemized!$M$132,Itemized!$M$133,Itemized!$M$134,Itemized!$M$135,Itemized!$M$136,Itemized!$M$138,Itemized!$M$139,Itemized!$M$142,Itemized!$M$151,Itemized!$M$153,Itemized!$M$159,Itemized!$M$160,Itemized!$M$187,Itemized!$M$190,Itemized!$M$191,Itemized!$M$192,Itemized!$M$198,Itemized!$M$199,Itemized!$M$204,Itemized!$M$205,Itemized!$M$206,Itemized!$M$207,Itemized!$M$208,Itemized!$M$209,Itemized!$M$210,Itemized!$M$211,Itemized!$M$212,Itemized!$M$213,Itemized!$M$214,Itemized!$M$215,Itemized!$M$216,Itemized!$M$217,Itemized!$M$218,Itemized!$M$219,Itemized!$M$225,Itemized!$M$232,Itemized!$M$234,Itemized!$M$235,Itemized!$M$237,Itemized!$M$240,Itemized!$M$244,Itemized!$M$247,Itemized!$M$248,Itemized!$M$249,Itemized!$M$250,Itemized!$M$251,Itemized!$M$252,Itemized!$M$253,Itemized!$M$254,Itemized!$M$255,Itemized!$M$256,Itemized!$M$257,Itemized!$M$258,Itemized!$M$259,Itemized!$M$260,Itemized!$M$261,Itemized!$M$262,Itemized!$M$276,Itemized!$M$277,Itemized!$M$278,Itemized!$M$284,Itemized!$M$293,Itemized!$M$294,Itemized!$M$295,Itemized!$M$296,Itemized!$M$297,Itemized!$M$298,Itemized!$M$300,Itemized!$M$302,Itemized!$M$303,Itemized!$M$304,Itemized!$M$305,Itemized!$M$306,Itemized!$M$307,Itemized!$M$308,Itemized!$M$309,Itemized!$M$310,Itemized!$M$311,Itemized!$M$312,Itemized!$M$313,Itemized!$M$314,Itemized!$M$315,Itemized!$M$316,Itemized!$M$319,Itemized!$M$320,Itemized!$M$321,Itemized!$M$322,Itemized!$M$323,Itemized!$M$341,Itemized!$M$345,Itemized!$M$354,Itemized!$M$357,Itemized!$M$358,Itemized!$M$359,Itemized!$M$360,Itemized!$M$361,Itemized!$M$362,Itemized!$M$363,Itemized!$M$364,Itemized!$M$365,Itemized!$M$441,Itemized!$M$443,Itemized!$M$446,Itemized!$M$447,Itemized!$M$448,Itemized!$M$452,Itemized!$M$453,Itemized!$M$454,Itemized!$M$455,Itemized!$M$458,Itemized!$M$459,Itemized!$M$460,Itemized!$M$461,Itemized!$M$462,Itemized!$M$463,Itemized!$M$464,Itemized!$M$465,Itemized!$M$466,Itemized!$M$467,Itemized!$M$469,Itemized!$M$470,Itemized!$M$630,Itemized!$M$631,Itemized!$M$632,Itemized!$M$633,Itemized!$M$634,Itemized!$M$635,Itemized!$M$636,Itemized!$M$637,Itemized!$M$638,Itemized!$M$639,Itemized!$M$640,Itemized!$M$641,Itemized!$M$642,Itemized!$M$643,Itemized!$M$644,Itemized!$M$645,Itemized!$M$646,Itemized!$M$647,Itemized!$M$648,Itemized!$M$649,Itemized!$M$650,Itemized!$M$651,Itemized!$M$652,Itemized!$M$653,Itemized!$M$654,Itemized!$M$655,Itemized!$M$656,Itemized!$M$657,Itemized!$M$658,Itemized!$M$659,Itemized!$M$660,Itemized!$M$661,Itemized!$M$662,Itemized!$M$663,Itemized!$M$664,Itemized!$M$665,Itemized!$M$666,Itemized!$M$667,Itemized!$M$668,Itemized!$M$669,Itemized!$M$670,Itemized!$M$671,Itemized!$M$672,Itemized!$M$673,Itemized!$M$674,Itemized!$M$675,Itemized!$M$676,Itemized!$M$677,Itemized!$M$678,Itemized!$M$679,Itemized!$M$680,Itemized!$M$681,Itemized!$M$682,Itemized!$M$683,Itemized!$M$684,Itemized!$M$685,Itemized!$M$686)</x:f>
        <x:v>1331255.33</x:v>
      </x:c>
      <x:c r="D7" s="14" t="n">
        <x:f>SUM(Itemized!$N$5,Itemized!$N$6,Itemized!$N$7,Itemized!$N$8,Itemized!$N$9,Itemized!$N$10,Itemized!$N$11,Itemized!$N$12,Itemized!$N$13,Itemized!$N$14,Itemized!$N$15,Itemized!$N$16,Itemized!$N$17,Itemized!$N$18,Itemized!$N$19,Itemized!$N$20,Itemized!$N$21,Itemized!$N$22,Itemized!$N$23,Itemized!$N$24,Itemized!$N$25,Itemized!$N$26,Itemized!$N$27,Itemized!$N$28,Itemized!$N$29,Itemized!$N$30,Itemized!$N$31,Itemized!$N$32,Itemized!$N$33,Itemized!$N$34,Itemized!$N$35,Itemized!$N$36,Itemized!$N$37,Itemized!$N$38,Itemized!$N$39,Itemized!$N$40,Itemized!$N$41,Itemized!$N$42,Itemized!$N$43,Itemized!$N$44,Itemized!$N$45,Itemized!$N$46,Itemized!$N$47,Itemized!$N$48,Itemized!$N$49,Itemized!$N$50,Itemized!$N$51,Itemized!$N$52,Itemized!$N$53,Itemized!$N$54,Itemized!$N$55,Itemized!$N$56,Itemized!$N$57,Itemized!$N$58,Itemized!$N$59,Itemized!$N$60,Itemized!$N$61,Itemized!$N$62,Itemized!$N$63,Itemized!$N$64,Itemized!$N$65,Itemized!$N$66,Itemized!$N$67,Itemized!$N$68,Itemized!$N$69,Itemized!$N$70,Itemized!$N$71,Itemized!$N$72,Itemized!$N$73,Itemized!$N$74,Itemized!$N$75,Itemized!$N$76,Itemized!$N$77,Itemized!$N$78,Itemized!$N$79,Itemized!$N$80,Itemized!$N$81,Itemized!$N$82,Itemized!$N$83,Itemized!$N$84,Itemized!$N$85,Itemized!$N$86,Itemized!$N$87,Itemized!$N$88,Itemized!$N$89,Itemized!$N$90,Itemized!$N$91,Itemized!$N$92,Itemized!$N$94,Itemized!$N$96,Itemized!$N$97,Itemized!$N$98,Itemized!$N$99,Itemized!$N$100,Itemized!$N$101,Itemized!$N$102,Itemized!$N$103,Itemized!$N$104,Itemized!$N$105,Itemized!$N$106,Itemized!$N$107,Itemized!$N$109,Itemized!$N$113,Itemized!$N$116,Itemized!$N$117,Itemized!$N$118,Itemized!$N$119,Itemized!$N$120,Itemized!$N$121,Itemized!$N$122,Itemized!$N$123,Itemized!$N$124,Itemized!$N$125,Itemized!$N$126,Itemized!$N$127,Itemized!$N$128,Itemized!$N$129,Itemized!$N$130,Itemized!$N$132,Itemized!$N$133,Itemized!$N$134,Itemized!$N$135,Itemized!$N$136,Itemized!$N$138,Itemized!$N$139,Itemized!$N$142,Itemized!$N$151,Itemized!$N$153,Itemized!$N$159,Itemized!$N$160,Itemized!$N$187,Itemized!$N$190,Itemized!$N$191,Itemized!$N$192,Itemized!$N$198,Itemized!$N$199,Itemized!$N$204,Itemized!$N$205,Itemized!$N$206,Itemized!$N$207,Itemized!$N$208,Itemized!$N$209,Itemized!$N$210,Itemized!$N$211,Itemized!$N$212,Itemized!$N$213,Itemized!$N$214,Itemized!$N$215,Itemized!$N$216,Itemized!$N$217,Itemized!$N$218,Itemized!$N$219,Itemized!$N$225,Itemized!$N$232,Itemized!$N$234,Itemized!$N$235,Itemized!$N$237,Itemized!$N$240,Itemized!$N$244,Itemized!$N$247,Itemized!$N$248,Itemized!$N$249,Itemized!$N$250,Itemized!$N$251,Itemized!$N$252,Itemized!$N$253,Itemized!$N$254,Itemized!$N$255,Itemized!$N$256,Itemized!$N$257,Itemized!$N$258,Itemized!$N$259,Itemized!$N$260,Itemized!$N$261,Itemized!$N$262,Itemized!$N$276,Itemized!$N$277,Itemized!$N$278,Itemized!$N$284,Itemized!$N$293,Itemized!$N$294,Itemized!$N$295,Itemized!$N$296,Itemized!$N$297,Itemized!$N$298,Itemized!$N$300,Itemized!$N$302,Itemized!$N$303,Itemized!$N$304,Itemized!$N$305,Itemized!$N$306,Itemized!$N$307,Itemized!$N$308,Itemized!$N$309,Itemized!$N$310,Itemized!$N$311,Itemized!$N$312,Itemized!$N$313,Itemized!$N$314,Itemized!$N$315,Itemized!$N$316,Itemized!$N$319,Itemized!$N$320,Itemized!$N$321,Itemized!$N$322,Itemized!$N$323,Itemized!$N$341,Itemized!$N$345,Itemized!$N$354,Itemized!$N$357,Itemized!$N$358,Itemized!$N$359,Itemized!$N$360,Itemized!$N$361,Itemized!$N$362,Itemized!$N$363,Itemized!$N$364,Itemized!$N$365,Itemized!$N$441,Itemized!$N$443,Itemized!$N$446,Itemized!$N$447,Itemized!$N$448,Itemized!$N$452,Itemized!$N$453,Itemized!$N$454,Itemized!$N$455,Itemized!$N$458,Itemized!$N$459,Itemized!$N$460,Itemized!$N$461,Itemized!$N$462,Itemized!$N$463,Itemized!$N$464,Itemized!$N$465,Itemized!$N$466,Itemized!$N$467,Itemized!$N$469,Itemized!$N$470,Itemized!$N$630,Itemized!$N$631,Itemized!$N$632,Itemized!$N$633,Itemized!$N$634,Itemized!$N$635,Itemized!$N$636,Itemized!$N$637,Itemized!$N$638,Itemized!$N$639,Itemized!$N$640,Itemized!$N$641,Itemized!$N$642,Itemized!$N$643,Itemized!$N$644,Itemized!$N$645,Itemized!$N$646,Itemized!$N$647,Itemized!$N$648,Itemized!$N$649,Itemized!$N$650,Itemized!$N$651,Itemized!$N$652,Itemized!$N$653,Itemized!$N$654,Itemized!$N$655,Itemized!$N$656,Itemized!$N$657,Itemized!$N$658,Itemized!$N$659,Itemized!$N$660,Itemized!$N$661,Itemized!$N$662,Itemized!$N$663,Itemized!$N$664,Itemized!$N$665,Itemized!$N$666,Itemized!$N$667,Itemized!$N$668,Itemized!$N$669,Itemized!$N$670,Itemized!$N$671,Itemized!$N$672,Itemized!$N$673,Itemized!$N$674,Itemized!$N$675,Itemized!$N$676,Itemized!$N$677,Itemized!$N$678,Itemized!$N$679,Itemized!$N$680,Itemized!$N$681,Itemized!$N$682,Itemized!$N$683,Itemized!$N$684,Itemized!$N$685,Itemized!$N$686)</x:f>
        <x:v>1812560.9600000002</x:v>
      </x:c>
      <x:c r="E7" s="14" t="n">
        <x:f>IF($E$5="Low",B7,IF($E$5="High",D7,C7))</x:f>
        <x:v>1331255.33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Recurring year-1 costs</x:v>
      </x:c>
      <x:c r="B8" s="14" t="n">
        <x:f>SUM(Itemized!$L$93,Itemized!$L$95,Itemized!$L$108,Itemized!$L$110,Itemized!$L$111,Itemized!$L$112,Itemized!$L$114,Itemized!$L$115,Itemized!$L$131,Itemized!$L$137,Itemized!$L$140,Itemized!$L$141,Itemized!$L$143,Itemized!$L$144,Itemized!$L$145,Itemized!$L$146,Itemized!$L$147,Itemized!$L$148,Itemized!$L$149,Itemized!$L$150,Itemized!$L$152,Itemized!$L$154,Itemized!$L$155,Itemized!$L$156,Itemized!$L$157,Itemized!$L$158,Itemized!$L$161,Itemized!$L$163,Itemized!$L$164,Itemized!$L$165,Itemized!$L$166,Itemized!$L$167,Itemized!$L$168,Itemized!$L$169,Itemized!$L$170,Itemized!$L$171,Itemized!$L$172,Itemized!$L$173,Itemized!$L$174,Itemized!$L$175,Itemized!$L$176,Itemized!$L$177,Itemized!$L$178,Itemized!$L$179,Itemized!$L$180,Itemized!$L$181,Itemized!$L$182,Itemized!$L$183,Itemized!$L$184,Itemized!$L$185,Itemized!$L$186,Itemized!$L$188,Itemized!$L$189,Itemized!$L$193,Itemized!$L$194,Itemized!$L$195,Itemized!$L$196,Itemized!$L$197,Itemized!$L$200,Itemized!$L$201,Itemized!$L$202,Itemized!$L$203,Itemized!$L$220,Itemized!$L$221,Itemized!$L$222,Itemized!$L$223,Itemized!$L$224,Itemized!$L$226,Itemized!$L$227,Itemized!$L$228,Itemized!$L$229,Itemized!$L$230,Itemized!$L$231,Itemized!$L$233,Itemized!$L$236,Itemized!$L$238,Itemized!$L$239,Itemized!$L$241,Itemized!$L$242,Itemized!$L$243,Itemized!$L$245,Itemized!$L$246,Itemized!$L$263,Itemized!$L$264,Itemized!$L$265,Itemized!$L$266,Itemized!$L$267,Itemized!$L$268,Itemized!$L$269,Itemized!$L$270,Itemized!$L$271,Itemized!$L$272,Itemized!$L$273,Itemized!$L$274,Itemized!$L$275,Itemized!$L$279,Itemized!$L$280,Itemized!$L$281,Itemized!$L$282,Itemized!$L$283,Itemized!$L$285,Itemized!$L$286,Itemized!$L$287,Itemized!$L$288,Itemized!$L$289,Itemized!$L$290,Itemized!$L$291,Itemized!$L$292,Itemized!$L$324,Itemized!$L$325,Itemized!$L$326,Itemized!$L$327,Itemized!$L$328,Itemized!$L$329,Itemized!$L$330,Itemized!$L$331,Itemized!$L$332,Itemized!$L$333,Itemized!$L$340,Itemized!$L$347,Itemized!$L$348,Itemized!$L$349,Itemized!$L$350,Itemized!$L$351,Itemized!$L$352,Itemized!$L$353,Itemized!$L$355,Itemized!$L$356,Itemized!$L$366,Itemized!$L$367,Itemized!$L$368,Itemized!$L$369,Itemized!$L$370,Itemized!$L$371,Itemized!$L$372,Itemized!$L$439,Itemized!$L$440,Itemized!$L$442,Itemized!$L$444,Itemized!$L$445,Itemized!$L$449,Itemized!$L$450,Itemized!$L$451,Itemized!$L$456,Itemized!$L$457,Itemized!$L$468,Itemized!$L$471,Itemized!$L$472,Itemized!$L$473,Itemized!$L$474,Itemized!$L$475,Itemized!$L$476,Itemized!$L$477,Itemized!$L$478,Itemized!$L$479,Itemized!$L$480,Itemized!$L$481,Itemized!$L$482,Itemized!$L$483,Itemized!$L$484,Itemized!$L$485,Itemized!$L$486,Itemized!$L$487,Itemized!$L$488,Itemized!$L$489,Itemized!$L$490,Itemized!$L$491,Itemized!$L$492,Itemized!$L$493,Itemized!$L$494,Itemized!$L$495,Itemized!$L$496,Itemized!$L$497,Itemized!$L$498,Itemized!$L$499,Itemized!$L$500,Itemized!$L$501,Itemized!$L$502,Itemized!$L$503,Itemized!$L$504,Itemized!$L$505,Itemized!$L$506,Itemized!$L$507,Itemized!$L$508,Itemized!$L$509,Itemized!$L$510,Itemized!$L$511,Itemized!$L$512,Itemized!$L$513,Itemized!$L$514,Itemized!$L$515,Itemized!$L$516,Itemized!$L$517,Itemized!$L$518,Itemized!$L$519,Itemized!$L$520,Itemized!$L$521,Itemized!$L$522,Itemized!$L$523,Itemized!$L$524,Itemized!$L$525,Itemized!$L$526,Itemized!$L$527,Itemized!$L$528,Itemized!$L$529,Itemized!$L$530,Itemized!$L$531,Itemized!$L$532,Itemized!$L$533,Itemized!$L$534,Itemized!$L$535,Itemized!$L$536,Itemized!$L$537,Itemized!$L$538,Itemized!$L$539,Itemized!$L$540,Itemized!$L$541,Itemized!$L$542,Itemized!$L$543,Itemized!$L$544,Itemized!$L$545,Itemized!$L$546,Itemized!$L$547,Itemized!$L$548,Itemized!$L$549,Itemized!$L$550,Itemized!$L$551,Itemized!$L$552,Itemized!$L$553,Itemized!$L$554,Itemized!$L$555,Itemized!$L$556,Itemized!$L$557,Itemized!$L$558,Itemized!$L$559,Itemized!$L$560,Itemized!$L$561,Itemized!$L$562,Itemized!$L$563,Itemized!$L$564,Itemized!$L$565,Itemized!$L$566,Itemized!$L$567,Itemized!$L$568,Itemized!$L$569,Itemized!$L$570,Itemized!$L$571,Itemized!$L$572,Itemized!$L$573,Itemized!$L$574,Itemized!$L$575,Itemized!$L$576,Itemized!$L$577,Itemized!$L$578,Itemized!$L$579,Itemized!$L$580,Itemized!$L$581,Itemized!$L$582,Itemized!$L$583,Itemized!$L$584,Itemized!$L$585,Itemized!$L$586,Itemized!$L$587,Itemized!$L$588,Itemized!$L$589,Itemized!$L$590,Itemized!$L$591,Itemized!$L$592,Itemized!$L$593,Itemized!$L$594,Itemized!$L$595,Itemized!$L$596,Itemized!$L$597,Itemized!$L$598,Itemized!$L$599,Itemized!$L$600,Itemized!$L$601,Itemized!$L$602,Itemized!$L$603,Itemized!$L$604,Itemized!$L$605,Itemized!$L$606,Itemized!$L$607,Itemized!$L$608,Itemized!$L$609,Itemized!$L$610,Itemized!$L$611,Itemized!$L$612,Itemized!$L$613,Itemized!$L$614,Itemized!$L$615,Itemized!$L$616,Itemized!$L$617,Itemized!$L$618,Itemized!$L$619,Itemized!$L$620,Itemized!$L$621,Itemized!$L$622,Itemized!$L$623,Itemized!$L$624,Itemized!$L$625,Itemized!$L$626,Itemized!$L$627,Itemized!$L$628,Itemized!$L$629,Itemized!$L$687)</x:f>
        <x:v>1118444.089999999</x:v>
      </x:c>
      <x:c r="C8" s="14" t="n">
        <x:f>SUM(Itemized!$M$93,Itemized!$M$95,Itemized!$M$108,Itemized!$M$110,Itemized!$M$111,Itemized!$M$112,Itemized!$M$114,Itemized!$M$115,Itemized!$M$131,Itemized!$M$137,Itemized!$M$140,Itemized!$M$141,Itemized!$M$143,Itemized!$M$144,Itemized!$M$145,Itemized!$M$146,Itemized!$M$147,Itemized!$M$148,Itemized!$M$149,Itemized!$M$150,Itemized!$M$152,Itemized!$M$154,Itemized!$M$155,Itemized!$M$156,Itemized!$M$157,Itemized!$M$158,Itemized!$M$161,Itemized!$M$163,Itemized!$M$164,Itemized!$M$165,Itemized!$M$166,Itemized!$M$167,Itemized!$M$168,Itemized!$M$169,Itemized!$M$170,Itemized!$M$171,Itemized!$M$172,Itemized!$M$173,Itemized!$M$174,Itemized!$M$175,Itemized!$M$176,Itemized!$M$177,Itemized!$M$178,Itemized!$M$179,Itemized!$M$180,Itemized!$M$181,Itemized!$M$182,Itemized!$M$183,Itemized!$M$184,Itemized!$M$185,Itemized!$M$186,Itemized!$M$188,Itemized!$M$189,Itemized!$M$193,Itemized!$M$194,Itemized!$M$195,Itemized!$M$196,Itemized!$M$197,Itemized!$M$200,Itemized!$M$201,Itemized!$M$202,Itemized!$M$203,Itemized!$M$220,Itemized!$M$221,Itemized!$M$222,Itemized!$M$223,Itemized!$M$224,Itemized!$M$226,Itemized!$M$227,Itemized!$M$228,Itemized!$M$229,Itemized!$M$230,Itemized!$M$231,Itemized!$M$233,Itemized!$M$236,Itemized!$M$238,Itemized!$M$239,Itemized!$M$241,Itemized!$M$242,Itemized!$M$243,Itemized!$M$245,Itemized!$M$246,Itemized!$M$263,Itemized!$M$264,Itemized!$M$265,Itemized!$M$266,Itemized!$M$267,Itemized!$M$268,Itemized!$M$269,Itemized!$M$270,Itemized!$M$271,Itemized!$M$272,Itemized!$M$273,Itemized!$M$274,Itemized!$M$275,Itemized!$M$279,Itemized!$M$280,Itemized!$M$281,Itemized!$M$282,Itemized!$M$283,Itemized!$M$285,Itemized!$M$286,Itemized!$M$287,Itemized!$M$288,Itemized!$M$289,Itemized!$M$290,Itemized!$M$291,Itemized!$M$292,Itemized!$M$324,Itemized!$M$325,Itemized!$M$326,Itemized!$M$327,Itemized!$M$328,Itemized!$M$329,Itemized!$M$330,Itemized!$M$331,Itemized!$M$332,Itemized!$M$333,Itemized!$M$340,Itemized!$M$347,Itemized!$M$348,Itemized!$M$349,Itemized!$M$350,Itemized!$M$351,Itemized!$M$352,Itemized!$M$353,Itemized!$M$355,Itemized!$M$356,Itemized!$M$366,Itemized!$M$367,Itemized!$M$368,Itemized!$M$369,Itemized!$M$370,Itemized!$M$371,Itemized!$M$372,Itemized!$M$439,Itemized!$M$440,Itemized!$M$442,Itemized!$M$444,Itemized!$M$445,Itemized!$M$449,Itemized!$M$450,Itemized!$M$451,Itemized!$M$456,Itemized!$M$457,Itemized!$M$468,Itemized!$M$471,Itemized!$M$472,Itemized!$M$473,Itemized!$M$474,Itemized!$M$475,Itemized!$M$476,Itemized!$M$477,Itemized!$M$478,Itemized!$M$479,Itemized!$M$480,Itemized!$M$481,Itemized!$M$482,Itemized!$M$483,Itemized!$M$484,Itemized!$M$485,Itemized!$M$486,Itemized!$M$487,Itemized!$M$488,Itemized!$M$489,Itemized!$M$490,Itemized!$M$491,Itemized!$M$492,Itemized!$M$493,Itemized!$M$494,Itemized!$M$495,Itemized!$M$496,Itemized!$M$497,Itemized!$M$498,Itemized!$M$499,Itemized!$M$500,Itemized!$M$501,Itemized!$M$502,Itemized!$M$503,Itemized!$M$504,Itemized!$M$505,Itemized!$M$506,Itemized!$M$507,Itemized!$M$508,Itemized!$M$509,Itemized!$M$510,Itemized!$M$511,Itemized!$M$512,Itemized!$M$513,Itemized!$M$514,Itemized!$M$515,Itemized!$M$516,Itemized!$M$517,Itemized!$M$518,Itemized!$M$519,Itemized!$M$520,Itemized!$M$521,Itemized!$M$522,Itemized!$M$523,Itemized!$M$524,Itemized!$M$525,Itemized!$M$526,Itemized!$M$527,Itemized!$M$528,Itemized!$M$529,Itemized!$M$530,Itemized!$M$531,Itemized!$M$532,Itemized!$M$533,Itemized!$M$534,Itemized!$M$535,Itemized!$M$536,Itemized!$M$537,Itemized!$M$538,Itemized!$M$539,Itemized!$M$540,Itemized!$M$541,Itemized!$M$542,Itemized!$M$543,Itemized!$M$544,Itemized!$M$545,Itemized!$M$546,Itemized!$M$547,Itemized!$M$548,Itemized!$M$549,Itemized!$M$550,Itemized!$M$551,Itemized!$M$552,Itemized!$M$553,Itemized!$M$554,Itemized!$M$555,Itemized!$M$556,Itemized!$M$557,Itemized!$M$558,Itemized!$M$559,Itemized!$M$560,Itemized!$M$561,Itemized!$M$562,Itemized!$M$563,Itemized!$M$564,Itemized!$M$565,Itemized!$M$566,Itemized!$M$567,Itemized!$M$568,Itemized!$M$569,Itemized!$M$570,Itemized!$M$571,Itemized!$M$572,Itemized!$M$573,Itemized!$M$574,Itemized!$M$575,Itemized!$M$576,Itemized!$M$577,Itemized!$M$578,Itemized!$M$579,Itemized!$M$580,Itemized!$M$581,Itemized!$M$582,Itemized!$M$583,Itemized!$M$584,Itemized!$M$585,Itemized!$M$586,Itemized!$M$587,Itemized!$M$588,Itemized!$M$589,Itemized!$M$590,Itemized!$M$591,Itemized!$M$592,Itemized!$M$593,Itemized!$M$594,Itemized!$M$595,Itemized!$M$596,Itemized!$M$597,Itemized!$M$598,Itemized!$M$599,Itemized!$M$600,Itemized!$M$601,Itemized!$M$602,Itemized!$M$603,Itemized!$M$604,Itemized!$M$605,Itemized!$M$606,Itemized!$M$607,Itemized!$M$608,Itemized!$M$609,Itemized!$M$610,Itemized!$M$611,Itemized!$M$612,Itemized!$M$613,Itemized!$M$614,Itemized!$M$615,Itemized!$M$616,Itemized!$M$617,Itemized!$M$618,Itemized!$M$619,Itemized!$M$620,Itemized!$M$621,Itemized!$M$622,Itemized!$M$623,Itemized!$M$624,Itemized!$M$625,Itemized!$M$626,Itemized!$M$627,Itemized!$M$628,Itemized!$M$629,Itemized!$M$687)</x:f>
        <x:v>1266942.1800000004</x:v>
      </x:c>
      <x:c r="D8" s="14" t="n">
        <x:f>SUM(Itemized!$N$93,Itemized!$N$95,Itemized!$N$108,Itemized!$N$110,Itemized!$N$111,Itemized!$N$112,Itemized!$N$114,Itemized!$N$115,Itemized!$N$131,Itemized!$N$137,Itemized!$N$140,Itemized!$N$141,Itemized!$N$143,Itemized!$N$144,Itemized!$N$145,Itemized!$N$146,Itemized!$N$147,Itemized!$N$148,Itemized!$N$149,Itemized!$N$150,Itemized!$N$152,Itemized!$N$154,Itemized!$N$155,Itemized!$N$156,Itemized!$N$157,Itemized!$N$158,Itemized!$N$161,Itemized!$N$163,Itemized!$N$164,Itemized!$N$165,Itemized!$N$166,Itemized!$N$167,Itemized!$N$168,Itemized!$N$169,Itemized!$N$170,Itemized!$N$171,Itemized!$N$172,Itemized!$N$173,Itemized!$N$174,Itemized!$N$175,Itemized!$N$176,Itemized!$N$177,Itemized!$N$178,Itemized!$N$179,Itemized!$N$180,Itemized!$N$181,Itemized!$N$182,Itemized!$N$183,Itemized!$N$184,Itemized!$N$185,Itemized!$N$186,Itemized!$N$188,Itemized!$N$189,Itemized!$N$193,Itemized!$N$194,Itemized!$N$195,Itemized!$N$196,Itemized!$N$197,Itemized!$N$200,Itemized!$N$201,Itemized!$N$202,Itemized!$N$203,Itemized!$N$220,Itemized!$N$221,Itemized!$N$222,Itemized!$N$223,Itemized!$N$224,Itemized!$N$226,Itemized!$N$227,Itemized!$N$228,Itemized!$N$229,Itemized!$N$230,Itemized!$N$231,Itemized!$N$233,Itemized!$N$236,Itemized!$N$238,Itemized!$N$239,Itemized!$N$241,Itemized!$N$242,Itemized!$N$243,Itemized!$N$245,Itemized!$N$246,Itemized!$N$263,Itemized!$N$264,Itemized!$N$265,Itemized!$N$266,Itemized!$N$267,Itemized!$N$268,Itemized!$N$269,Itemized!$N$270,Itemized!$N$271,Itemized!$N$272,Itemized!$N$273,Itemized!$N$274,Itemized!$N$275,Itemized!$N$279,Itemized!$N$280,Itemized!$N$281,Itemized!$N$282,Itemized!$N$283,Itemized!$N$285,Itemized!$N$286,Itemized!$N$287,Itemized!$N$288,Itemized!$N$289,Itemized!$N$290,Itemized!$N$291,Itemized!$N$292,Itemized!$N$324,Itemized!$N$325,Itemized!$N$326,Itemized!$N$327,Itemized!$N$328,Itemized!$N$329,Itemized!$N$330,Itemized!$N$331,Itemized!$N$332,Itemized!$N$333,Itemized!$N$340,Itemized!$N$347,Itemized!$N$348,Itemized!$N$349,Itemized!$N$350,Itemized!$N$351,Itemized!$N$352,Itemized!$N$353,Itemized!$N$355,Itemized!$N$356,Itemized!$N$366,Itemized!$N$367,Itemized!$N$368,Itemized!$N$369,Itemized!$N$370,Itemized!$N$371,Itemized!$N$372,Itemized!$N$439,Itemized!$N$440,Itemized!$N$442,Itemized!$N$444,Itemized!$N$445,Itemized!$N$449,Itemized!$N$450,Itemized!$N$451,Itemized!$N$456,Itemized!$N$457,Itemized!$N$468,Itemized!$N$471,Itemized!$N$472,Itemized!$N$473,Itemized!$N$474,Itemized!$N$475,Itemized!$N$476,Itemized!$N$477,Itemized!$N$478,Itemized!$N$479,Itemized!$N$480,Itemized!$N$481,Itemized!$N$482,Itemized!$N$483,Itemized!$N$484,Itemized!$N$485,Itemized!$N$486,Itemized!$N$487,Itemized!$N$488,Itemized!$N$489,Itemized!$N$490,Itemized!$N$491,Itemized!$N$492,Itemized!$N$493,Itemized!$N$494,Itemized!$N$495,Itemized!$N$496,Itemized!$N$497,Itemized!$N$498,Itemized!$N$499,Itemized!$N$500,Itemized!$N$501,Itemized!$N$502,Itemized!$N$503,Itemized!$N$504,Itemized!$N$505,Itemized!$N$506,Itemized!$N$507,Itemized!$N$508,Itemized!$N$509,Itemized!$N$510,Itemized!$N$511,Itemized!$N$512,Itemized!$N$513,Itemized!$N$514,Itemized!$N$515,Itemized!$N$516,Itemized!$N$517,Itemized!$N$518,Itemized!$N$519,Itemized!$N$520,Itemized!$N$521,Itemized!$N$522,Itemized!$N$523,Itemized!$N$524,Itemized!$N$525,Itemized!$N$526,Itemized!$N$527,Itemized!$N$528,Itemized!$N$529,Itemized!$N$530,Itemized!$N$531,Itemized!$N$532,Itemized!$N$533,Itemized!$N$534,Itemized!$N$535,Itemized!$N$536,Itemized!$N$537,Itemized!$N$538,Itemized!$N$539,Itemized!$N$540,Itemized!$N$541,Itemized!$N$542,Itemized!$N$543,Itemized!$N$544,Itemized!$N$545,Itemized!$N$546,Itemized!$N$547,Itemized!$N$548,Itemized!$N$549,Itemized!$N$550,Itemized!$N$551,Itemized!$N$552,Itemized!$N$553,Itemized!$N$554,Itemized!$N$555,Itemized!$N$556,Itemized!$N$557,Itemized!$N$558,Itemized!$N$559,Itemized!$N$560,Itemized!$N$561,Itemized!$N$562,Itemized!$N$563,Itemized!$N$564,Itemized!$N$565,Itemized!$N$566,Itemized!$N$567,Itemized!$N$568,Itemized!$N$569,Itemized!$N$570,Itemized!$N$571,Itemized!$N$572,Itemized!$N$573,Itemized!$N$574,Itemized!$N$575,Itemized!$N$576,Itemized!$N$577,Itemized!$N$578,Itemized!$N$579,Itemized!$N$580,Itemized!$N$581,Itemized!$N$582,Itemized!$N$583,Itemized!$N$584,Itemized!$N$585,Itemized!$N$586,Itemized!$N$587,Itemized!$N$588,Itemized!$N$589,Itemized!$N$590,Itemized!$N$591,Itemized!$N$592,Itemized!$N$593,Itemized!$N$594,Itemized!$N$595,Itemized!$N$596,Itemized!$N$597,Itemized!$N$598,Itemized!$N$599,Itemized!$N$600,Itemized!$N$601,Itemized!$N$602,Itemized!$N$603,Itemized!$N$604,Itemized!$N$605,Itemized!$N$606,Itemized!$N$607,Itemized!$N$608,Itemized!$N$609,Itemized!$N$610,Itemized!$N$611,Itemized!$N$612,Itemized!$N$613,Itemized!$N$614,Itemized!$N$615,Itemized!$N$616,Itemized!$N$617,Itemized!$N$618,Itemized!$N$619,Itemized!$N$620,Itemized!$N$621,Itemized!$N$622,Itemized!$N$623,Itemized!$N$624,Itemized!$N$625,Itemized!$N$626,Itemized!$N$627,Itemized!$N$628,Itemized!$N$629,Itemized!$N$687)</x:f>
        <x:v>1477610.0699999987</x:v>
      </x:c>
      <x:c r="E8" s="14" t="n">
        <x:f>IF($E$5="Low",B8,IF($E$5="High",D8,C8))</x:f>
        <x:v>1266942.1800000004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Inventory / launch goods</x:v>
      </x:c>
      <x:c r="B9" s="14" t="n">
        <x:f>SUM(Itemized!$L$299,Itemized!$L$301,Itemized!$L$317,Itemized!$L$318,Itemized!$L$335,Itemized!$L$336,Itemized!$L$337,Itemized!$L$338,Itemized!$L$339,Itemized!$L$342,Itemized!$L$343,Itemized!$L$344,Itemized!$L$346,Itemized!$L$373,Itemized!$L$374,Itemized!$L$375,Itemized!$L$376,Itemized!$L$377,Itemized!$L$378,Itemized!$L$379,Itemized!$L$380,Itemized!$L$381,Itemized!$L$382,Itemized!$L$383,Itemized!$L$384,Itemized!$L$385,Itemized!$L$386,Itemized!$L$387,Itemized!$L$388,Itemized!$L$389,Itemized!$L$390,Itemized!$L$391,Itemized!$L$392,Itemized!$L$393,Itemized!$L$394,Itemized!$L$395,Itemized!$L$396,Itemized!$L$397,Itemized!$L$398,Itemized!$L$399,Itemized!$L$400,Itemized!$L$401,Itemized!$L$402,Itemized!$L$403,Itemized!$L$404,Itemized!$L$405,Itemized!$L$406,Itemized!$L$407,Itemized!$L$408,Itemized!$L$409,Itemized!$L$410,Itemized!$L$411,Itemized!$L$412,Itemized!$L$413,Itemized!$L$414,Itemized!$L$415,Itemized!$L$416,Itemized!$L$417,Itemized!$L$418,Itemized!$L$419,Itemized!$L$420,Itemized!$L$421,Itemized!$L$422,Itemized!$L$423,Itemized!$L$424,Itemized!$L$425,Itemized!$L$426,Itemized!$L$427,Itemized!$L$428,Itemized!$L$429,Itemized!$L$430,Itemized!$L$431,Itemized!$L$432,Itemized!$L$433,Itemized!$L$434,Itemized!$L$435,Itemized!$L$436,Itemized!$L$437,Itemized!$L$438)</x:f>
        <x:v>21527.5</x:v>
      </x:c>
      <x:c r="C9" s="14" t="n">
        <x:f>SUM(Itemized!$M$299,Itemized!$M$301,Itemized!$M$317,Itemized!$M$318,Itemized!$M$335,Itemized!$M$336,Itemized!$M$337,Itemized!$M$338,Itemized!$M$339,Itemized!$M$342,Itemized!$M$343,Itemized!$M$344,Itemized!$M$346,Itemized!$M$373,Itemized!$M$374,Itemized!$M$375,Itemized!$M$376,Itemized!$M$377,Itemized!$M$378,Itemized!$M$379,Itemized!$M$380,Itemized!$M$381,Itemized!$M$382,Itemized!$M$383,Itemized!$M$384,Itemized!$M$385,Itemized!$M$386,Itemized!$M$387,Itemized!$M$388,Itemized!$M$389,Itemized!$M$390,Itemized!$M$391,Itemized!$M$392,Itemized!$M$393,Itemized!$M$394,Itemized!$M$395,Itemized!$M$396,Itemized!$M$397,Itemized!$M$398,Itemized!$M$399,Itemized!$M$400,Itemized!$M$401,Itemized!$M$402,Itemized!$M$403,Itemized!$M$404,Itemized!$M$405,Itemized!$M$406,Itemized!$M$407,Itemized!$M$408,Itemized!$M$409,Itemized!$M$410,Itemized!$M$411,Itemized!$M$412,Itemized!$M$413,Itemized!$M$414,Itemized!$M$415,Itemized!$M$416,Itemized!$M$417,Itemized!$M$418,Itemized!$M$419,Itemized!$M$420,Itemized!$M$421,Itemized!$M$422,Itemized!$M$423,Itemized!$M$424,Itemized!$M$425,Itemized!$M$426,Itemized!$M$427,Itemized!$M$428,Itemized!$M$429,Itemized!$M$430,Itemized!$M$431,Itemized!$M$432,Itemized!$M$433,Itemized!$M$434,Itemized!$M$435,Itemized!$M$436,Itemized!$M$437,Itemized!$M$438)</x:f>
        <x:v>24509.5</x:v>
      </x:c>
      <x:c r="D9" s="14" t="n">
        <x:f>SUM(Itemized!$N$299,Itemized!$N$301,Itemized!$N$317,Itemized!$N$318,Itemized!$N$335,Itemized!$N$336,Itemized!$N$337,Itemized!$N$338,Itemized!$N$339,Itemized!$N$342,Itemized!$N$343,Itemized!$N$344,Itemized!$N$346,Itemized!$N$373,Itemized!$N$374,Itemized!$N$375,Itemized!$N$376,Itemized!$N$377,Itemized!$N$378,Itemized!$N$379,Itemized!$N$380,Itemized!$N$381,Itemized!$N$382,Itemized!$N$383,Itemized!$N$384,Itemized!$N$385,Itemized!$N$386,Itemized!$N$387,Itemized!$N$388,Itemized!$N$389,Itemized!$N$390,Itemized!$N$391,Itemized!$N$392,Itemized!$N$393,Itemized!$N$394,Itemized!$N$395,Itemized!$N$396,Itemized!$N$397,Itemized!$N$398,Itemized!$N$399,Itemized!$N$400,Itemized!$N$401,Itemized!$N$402,Itemized!$N$403,Itemized!$N$404,Itemized!$N$405,Itemized!$N$406,Itemized!$N$407,Itemized!$N$408,Itemized!$N$409,Itemized!$N$410,Itemized!$N$411,Itemized!$N$412,Itemized!$N$413,Itemized!$N$414,Itemized!$N$415,Itemized!$N$416,Itemized!$N$417,Itemized!$N$418,Itemized!$N$419,Itemized!$N$420,Itemized!$N$421,Itemized!$N$422,Itemized!$N$423,Itemized!$N$424,Itemized!$N$425,Itemized!$N$426,Itemized!$N$427,Itemized!$N$428,Itemized!$N$429,Itemized!$N$430,Itemized!$N$431,Itemized!$N$432,Itemized!$N$433,Itemized!$N$434,Itemized!$N$435,Itemized!$N$436,Itemized!$N$437,Itemized!$N$438)</x:f>
        <x:v>28237</x:v>
      </x:c>
      <x:c r="E9" s="14" t="n">
        <x:f>IF($E$5="Low",B9,IF($E$5="High",D9,C9))</x:f>
        <x:v>24509.5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Refundable deposits</x:v>
      </x:c>
      <x:c r="B10" s="14" t="n">
        <x:f>SUM(Itemized!$L$162)</x:f>
        <x:v>7200</x:v>
      </x:c>
      <x:c r="C10" s="14" t="n">
        <x:f>SUM(Itemized!$M$162)</x:f>
        <x:v>9000</x:v>
      </x:c>
      <x:c r="D10" s="14" t="n">
        <x:f>SUM(Itemized!$N$162)</x:f>
        <x:v>11250</x:v>
      </x:c>
      <x:c r="E10" s="14" t="n">
        <x:f>IF($E$5="Low",B10,IF($E$5="High",D10,C10))</x:f>
        <x:v>9000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Reserve / contingency</x:v>
      </x:c>
      <x:c r="B11" s="14" t="n">
        <x:f>SUM(Itemized!$L$334,Itemized!$L$688,Itemized!$L$689,Itemized!$L$690)</x:f>
        <x:v>415839.76</x:v>
      </x:c>
      <x:c r="C11" s="14" t="n">
        <x:f>SUM(Itemized!$M$334,Itemized!$M$688,Itemized!$M$689,Itemized!$M$690)</x:f>
        <x:v>491500.85</x:v>
      </x:c>
      <x:c r="D11" s="14" t="n">
        <x:f>SUM(Itemized!$N$334,Itemized!$N$688,Itemized!$N$689,Itemized!$N$690)</x:f>
        <x:v>610243.12</x:v>
      </x:c>
      <x:c r="E11" s="14" t="n">
        <x:f>IF($E$5="Low",B11,IF($E$5="High",D11,C11))</x:f>
        <x:v>491500.85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6" t="str">
        <x:v>Total year-1 cash requirement</x:v>
      </x:c>
      <x:c r="B12" s="17" t="n">
        <x:f>SUM(B7:B11)</x:f>
        <x:v>2604713.3599999985</x:v>
      </x:c>
      <x:c r="C12" s="17" t="n">
        <x:f>SUM(C7:C11)</x:f>
        <x:v>3123207.860000001</x:v>
      </x:c>
      <x:c r="D12" s="17" t="n">
        <x:f>SUM(D7:D11)</x:f>
        <x:v>3939901.149999999</x:v>
      </x:c>
      <x:c r="E12" s="17" t="n">
        <x:f>SUM(E7:E11)</x:f>
        <x:v>3123207.860000001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6" t="str">
        <x:v>Monthly recurring run-rate</x:v>
      </x:c>
      <x:c r="B13" s="17" t="n">
        <x:f>SUM(Itemized!$L$93,Itemized!$L$95,Itemized!$L$108,Itemized!$L$110,Itemized!$L$111,Itemized!$L$112,Itemized!$L$114,Itemized!$L$115,Itemized!$L$131,Itemized!$L$137,Itemized!$L$140,Itemized!$L$141,Itemized!$L$143,Itemized!$L$144,Itemized!$L$145,Itemized!$L$146,Itemized!$L$147,Itemized!$L$148,Itemized!$L$149,Itemized!$L$150,Itemized!$L$152,Itemized!$L$154,Itemized!$L$155,Itemized!$L$156,Itemized!$L$157,Itemized!$L$158,Itemized!$L$161,Itemized!$L$163,Itemized!$L$164,Itemized!$L$165,Itemized!$L$166,Itemized!$L$167,Itemized!$L$168,Itemized!$L$169,Itemized!$L$170,Itemized!$L$171,Itemized!$L$172,Itemized!$L$173,Itemized!$L$174,Itemized!$L$175,Itemized!$L$176,Itemized!$L$177,Itemized!$L$178,Itemized!$L$179,Itemized!$L$180,Itemized!$L$181,Itemized!$L$182,Itemized!$L$183,Itemized!$L$184,Itemized!$L$185,Itemized!$L$186,Itemized!$L$188,Itemized!$L$189,Itemized!$L$193,Itemized!$L$194,Itemized!$L$195,Itemized!$L$196,Itemized!$L$197,Itemized!$L$200,Itemized!$L$201,Itemized!$L$202,Itemized!$L$203,Itemized!$L$220,Itemized!$L$221,Itemized!$L$222,Itemized!$L$223,Itemized!$L$224,Itemized!$L$226,Itemized!$L$227,Itemized!$L$228,Itemized!$L$229,Itemized!$L$230,Itemized!$L$231,Itemized!$L$233,Itemized!$L$236,Itemized!$L$238,Itemized!$L$239,Itemized!$L$241,Itemized!$L$242,Itemized!$L$243,Itemized!$L$245,Itemized!$L$246,Itemized!$L$263,Itemized!$L$264,Itemized!$L$265,Itemized!$L$266,Itemized!$L$267,Itemized!$L$268,Itemized!$L$269,Itemized!$L$270,Itemized!$L$271,Itemized!$L$272,Itemized!$L$273,Itemized!$L$274,Itemized!$L$275,Itemized!$L$279,Itemized!$L$280,Itemized!$L$281,Itemized!$L$282,Itemized!$L$283,Itemized!$L$285,Itemized!$L$286,Itemized!$L$287,Itemized!$L$288,Itemized!$L$289,Itemized!$L$290,Itemized!$L$291,Itemized!$L$292,Itemized!$L$324,Itemized!$L$325,Itemized!$L$326,Itemized!$L$327,Itemized!$L$328,Itemized!$L$329,Itemized!$L$330,Itemized!$L$331,Itemized!$L$332,Itemized!$L$333,Itemized!$L$340,Itemized!$L$347,Itemized!$L$348,Itemized!$L$349,Itemized!$L$350,Itemized!$L$351,Itemized!$L$352,Itemized!$L$353,Itemized!$L$355,Itemized!$L$356,Itemized!$L$366,Itemized!$L$367,Itemized!$L$368,Itemized!$L$369,Itemized!$L$370,Itemized!$L$371,Itemized!$L$372,Itemized!$L$439,Itemized!$L$440,Itemized!$L$442,Itemized!$L$444,Itemized!$L$445,Itemized!$L$449,Itemized!$L$450,Itemized!$L$451,Itemized!$L$456,Itemized!$L$457,Itemized!$L$468,Itemized!$L$471,Itemized!$L$472,Itemized!$L$473,Itemized!$L$474,Itemized!$L$475,Itemized!$L$476,Itemized!$L$477,Itemized!$L$478,Itemized!$L$479,Itemized!$L$480,Itemized!$L$481,Itemized!$L$482,Itemized!$L$483,Itemized!$L$484,Itemized!$L$485,Itemized!$L$486,Itemized!$L$487,Itemized!$L$488,Itemized!$L$489,Itemized!$L$490,Itemized!$L$491,Itemized!$L$492,Itemized!$L$493,Itemized!$L$494,Itemized!$L$495,Itemized!$L$496,Itemized!$L$497,Itemized!$L$498,Itemized!$L$499,Itemized!$L$500,Itemized!$L$501,Itemized!$L$502,Itemized!$L$503,Itemized!$L$504,Itemized!$L$505,Itemized!$L$506,Itemized!$L$507,Itemized!$L$508,Itemized!$L$509,Itemized!$L$510,Itemized!$L$511,Itemized!$L$512,Itemized!$L$513,Itemized!$L$514,Itemized!$L$515,Itemized!$L$516,Itemized!$L$517,Itemized!$L$518,Itemized!$L$519,Itemized!$L$520,Itemized!$L$521,Itemized!$L$522,Itemized!$L$523,Itemized!$L$524,Itemized!$L$525,Itemized!$L$526,Itemized!$L$527,Itemized!$L$528,Itemized!$L$529,Itemized!$L$530,Itemized!$L$531,Itemized!$L$532,Itemized!$L$533,Itemized!$L$534,Itemized!$L$535,Itemized!$L$536,Itemized!$L$537,Itemized!$L$538,Itemized!$L$539,Itemized!$L$540,Itemized!$L$541,Itemized!$L$542,Itemized!$L$543,Itemized!$L$544,Itemized!$L$545,Itemized!$L$546,Itemized!$L$547,Itemized!$L$548,Itemized!$L$549,Itemized!$L$550,Itemized!$L$551,Itemized!$L$552,Itemized!$L$553,Itemized!$L$554,Itemized!$L$555,Itemized!$L$556,Itemized!$L$557,Itemized!$L$558,Itemized!$L$559,Itemized!$L$560,Itemized!$L$561,Itemized!$L$562,Itemized!$L$563,Itemized!$L$564,Itemized!$L$565,Itemized!$L$566,Itemized!$L$567,Itemized!$L$568,Itemized!$L$569,Itemized!$L$570,Itemized!$L$571,Itemized!$L$572,Itemized!$L$573,Itemized!$L$574,Itemized!$L$575,Itemized!$L$576,Itemized!$L$577,Itemized!$L$578,Itemized!$L$579,Itemized!$L$580,Itemized!$L$581,Itemized!$L$582,Itemized!$L$583,Itemized!$L$584,Itemized!$L$585,Itemized!$L$586,Itemized!$L$587,Itemized!$L$588,Itemized!$L$589,Itemized!$L$590,Itemized!$L$591,Itemized!$L$592,Itemized!$L$593,Itemized!$L$594,Itemized!$L$595,Itemized!$L$596,Itemized!$L$597,Itemized!$L$598,Itemized!$L$599,Itemized!$L$600,Itemized!$L$601,Itemized!$L$602,Itemized!$L$603,Itemized!$L$604,Itemized!$L$605,Itemized!$L$606,Itemized!$L$607,Itemized!$L$608,Itemized!$L$609,Itemized!$L$610,Itemized!$L$611,Itemized!$L$612,Itemized!$L$613,Itemized!$L$614,Itemized!$L$615,Itemized!$L$616,Itemized!$L$617,Itemized!$L$618,Itemized!$L$619,Itemized!$L$620,Itemized!$L$621,Itemized!$L$622,Itemized!$L$623,Itemized!$L$624,Itemized!$L$625,Itemized!$L$626,Itemized!$L$627,Itemized!$L$628,Itemized!$L$629,Itemized!$L$687)/12</x:f>
        <x:v>93203.67416666658</x:v>
      </x:c>
      <x:c r="C13" s="17" t="n">
        <x:f>SUM(Itemized!$M$93,Itemized!$M$95,Itemized!$M$108,Itemized!$M$110,Itemized!$M$111,Itemized!$M$112,Itemized!$M$114,Itemized!$M$115,Itemized!$M$131,Itemized!$M$137,Itemized!$M$140,Itemized!$M$141,Itemized!$M$143,Itemized!$M$144,Itemized!$M$145,Itemized!$M$146,Itemized!$M$147,Itemized!$M$148,Itemized!$M$149,Itemized!$M$150,Itemized!$M$152,Itemized!$M$154,Itemized!$M$155,Itemized!$M$156,Itemized!$M$157,Itemized!$M$158,Itemized!$M$161,Itemized!$M$163,Itemized!$M$164,Itemized!$M$165,Itemized!$M$166,Itemized!$M$167,Itemized!$M$168,Itemized!$M$169,Itemized!$M$170,Itemized!$M$171,Itemized!$M$172,Itemized!$M$173,Itemized!$M$174,Itemized!$M$175,Itemized!$M$176,Itemized!$M$177,Itemized!$M$178,Itemized!$M$179,Itemized!$M$180,Itemized!$M$181,Itemized!$M$182,Itemized!$M$183,Itemized!$M$184,Itemized!$M$185,Itemized!$M$186,Itemized!$M$188,Itemized!$M$189,Itemized!$M$193,Itemized!$M$194,Itemized!$M$195,Itemized!$M$196,Itemized!$M$197,Itemized!$M$200,Itemized!$M$201,Itemized!$M$202,Itemized!$M$203,Itemized!$M$220,Itemized!$M$221,Itemized!$M$222,Itemized!$M$223,Itemized!$M$224,Itemized!$M$226,Itemized!$M$227,Itemized!$M$228,Itemized!$M$229,Itemized!$M$230,Itemized!$M$231,Itemized!$M$233,Itemized!$M$236,Itemized!$M$238,Itemized!$M$239,Itemized!$M$241,Itemized!$M$242,Itemized!$M$243,Itemized!$M$245,Itemized!$M$246,Itemized!$M$263,Itemized!$M$264,Itemized!$M$265,Itemized!$M$266,Itemized!$M$267,Itemized!$M$268,Itemized!$M$269,Itemized!$M$270,Itemized!$M$271,Itemized!$M$272,Itemized!$M$273,Itemized!$M$274,Itemized!$M$275,Itemized!$M$279,Itemized!$M$280,Itemized!$M$281,Itemized!$M$282,Itemized!$M$283,Itemized!$M$285,Itemized!$M$286,Itemized!$M$287,Itemized!$M$288,Itemized!$M$289,Itemized!$M$290,Itemized!$M$291,Itemized!$M$292,Itemized!$M$324,Itemized!$M$325,Itemized!$M$326,Itemized!$M$327,Itemized!$M$328,Itemized!$M$329,Itemized!$M$330,Itemized!$M$331,Itemized!$M$332,Itemized!$M$333,Itemized!$M$340,Itemized!$M$347,Itemized!$M$348,Itemized!$M$349,Itemized!$M$350,Itemized!$M$351,Itemized!$M$352,Itemized!$M$353,Itemized!$M$355,Itemized!$M$356,Itemized!$M$366,Itemized!$M$367,Itemized!$M$368,Itemized!$M$369,Itemized!$M$370,Itemized!$M$371,Itemized!$M$372,Itemized!$M$439,Itemized!$M$440,Itemized!$M$442,Itemized!$M$444,Itemized!$M$445,Itemized!$M$449,Itemized!$M$450,Itemized!$M$451,Itemized!$M$456,Itemized!$M$457,Itemized!$M$468,Itemized!$M$471,Itemized!$M$472,Itemized!$M$473,Itemized!$M$474,Itemized!$M$475,Itemized!$M$476,Itemized!$M$477,Itemized!$M$478,Itemized!$M$479,Itemized!$M$480,Itemized!$M$481,Itemized!$M$482,Itemized!$M$483,Itemized!$M$484,Itemized!$M$485,Itemized!$M$486,Itemized!$M$487,Itemized!$M$488,Itemized!$M$489,Itemized!$M$490,Itemized!$M$491,Itemized!$M$492,Itemized!$M$493,Itemized!$M$494,Itemized!$M$495,Itemized!$M$496,Itemized!$M$497,Itemized!$M$498,Itemized!$M$499,Itemized!$M$500,Itemized!$M$501,Itemized!$M$502,Itemized!$M$503,Itemized!$M$504,Itemized!$M$505,Itemized!$M$506,Itemized!$M$507,Itemized!$M$508,Itemized!$M$509,Itemized!$M$510,Itemized!$M$511,Itemized!$M$512,Itemized!$M$513,Itemized!$M$514,Itemized!$M$515,Itemized!$M$516,Itemized!$M$517,Itemized!$M$518,Itemized!$M$519,Itemized!$M$520,Itemized!$M$521,Itemized!$M$522,Itemized!$M$523,Itemized!$M$524,Itemized!$M$525,Itemized!$M$526,Itemized!$M$527,Itemized!$M$528,Itemized!$M$529,Itemized!$M$530,Itemized!$M$531,Itemized!$M$532,Itemized!$M$533,Itemized!$M$534,Itemized!$M$535,Itemized!$M$536,Itemized!$M$537,Itemized!$M$538,Itemized!$M$539,Itemized!$M$540,Itemized!$M$541,Itemized!$M$542,Itemized!$M$543,Itemized!$M$544,Itemized!$M$545,Itemized!$M$546,Itemized!$M$547,Itemized!$M$548,Itemized!$M$549,Itemized!$M$550,Itemized!$M$551,Itemized!$M$552,Itemized!$M$553,Itemized!$M$554,Itemized!$M$555,Itemized!$M$556,Itemized!$M$557,Itemized!$M$558,Itemized!$M$559,Itemized!$M$560,Itemized!$M$561,Itemized!$M$562,Itemized!$M$563,Itemized!$M$564,Itemized!$M$565,Itemized!$M$566,Itemized!$M$567,Itemized!$M$568,Itemized!$M$569,Itemized!$M$570,Itemized!$M$571,Itemized!$M$572,Itemized!$M$573,Itemized!$M$574,Itemized!$M$575,Itemized!$M$576,Itemized!$M$577,Itemized!$M$578,Itemized!$M$579,Itemized!$M$580,Itemized!$M$581,Itemized!$M$582,Itemized!$M$583,Itemized!$M$584,Itemized!$M$585,Itemized!$M$586,Itemized!$M$587,Itemized!$M$588,Itemized!$M$589,Itemized!$M$590,Itemized!$M$591,Itemized!$M$592,Itemized!$M$593,Itemized!$M$594,Itemized!$M$595,Itemized!$M$596,Itemized!$M$597,Itemized!$M$598,Itemized!$M$599,Itemized!$M$600,Itemized!$M$601,Itemized!$M$602,Itemized!$M$603,Itemized!$M$604,Itemized!$M$605,Itemized!$M$606,Itemized!$M$607,Itemized!$M$608,Itemized!$M$609,Itemized!$M$610,Itemized!$M$611,Itemized!$M$612,Itemized!$M$613,Itemized!$M$614,Itemized!$M$615,Itemized!$M$616,Itemized!$M$617,Itemized!$M$618,Itemized!$M$619,Itemized!$M$620,Itemized!$M$621,Itemized!$M$622,Itemized!$M$623,Itemized!$M$624,Itemized!$M$625,Itemized!$M$626,Itemized!$M$627,Itemized!$M$628,Itemized!$M$629,Itemized!$M$687)/12</x:f>
        <x:v>105578.51500000003</x:v>
      </x:c>
      <x:c r="D13" s="17" t="n">
        <x:f>SUM(Itemized!$N$93,Itemized!$N$95,Itemized!$N$108,Itemized!$N$110,Itemized!$N$111,Itemized!$N$112,Itemized!$N$114,Itemized!$N$115,Itemized!$N$131,Itemized!$N$137,Itemized!$N$140,Itemized!$N$141,Itemized!$N$143,Itemized!$N$144,Itemized!$N$145,Itemized!$N$146,Itemized!$N$147,Itemized!$N$148,Itemized!$N$149,Itemized!$N$150,Itemized!$N$152,Itemized!$N$154,Itemized!$N$155,Itemized!$N$156,Itemized!$N$157,Itemized!$N$158,Itemized!$N$161,Itemized!$N$163,Itemized!$N$164,Itemized!$N$165,Itemized!$N$166,Itemized!$N$167,Itemized!$N$168,Itemized!$N$169,Itemized!$N$170,Itemized!$N$171,Itemized!$N$172,Itemized!$N$173,Itemized!$N$174,Itemized!$N$175,Itemized!$N$176,Itemized!$N$177,Itemized!$N$178,Itemized!$N$179,Itemized!$N$180,Itemized!$N$181,Itemized!$N$182,Itemized!$N$183,Itemized!$N$184,Itemized!$N$185,Itemized!$N$186,Itemized!$N$188,Itemized!$N$189,Itemized!$N$193,Itemized!$N$194,Itemized!$N$195,Itemized!$N$196,Itemized!$N$197,Itemized!$N$200,Itemized!$N$201,Itemized!$N$202,Itemized!$N$203,Itemized!$N$220,Itemized!$N$221,Itemized!$N$222,Itemized!$N$223,Itemized!$N$224,Itemized!$N$226,Itemized!$N$227,Itemized!$N$228,Itemized!$N$229,Itemized!$N$230,Itemized!$N$231,Itemized!$N$233,Itemized!$N$236,Itemized!$N$238,Itemized!$N$239,Itemized!$N$241,Itemized!$N$242,Itemized!$N$243,Itemized!$N$245,Itemized!$N$246,Itemized!$N$263,Itemized!$N$264,Itemized!$N$265,Itemized!$N$266,Itemized!$N$267,Itemized!$N$268,Itemized!$N$269,Itemized!$N$270,Itemized!$N$271,Itemized!$N$272,Itemized!$N$273,Itemized!$N$274,Itemized!$N$275,Itemized!$N$279,Itemized!$N$280,Itemized!$N$281,Itemized!$N$282,Itemized!$N$283,Itemized!$N$285,Itemized!$N$286,Itemized!$N$287,Itemized!$N$288,Itemized!$N$289,Itemized!$N$290,Itemized!$N$291,Itemized!$N$292,Itemized!$N$324,Itemized!$N$325,Itemized!$N$326,Itemized!$N$327,Itemized!$N$328,Itemized!$N$329,Itemized!$N$330,Itemized!$N$331,Itemized!$N$332,Itemized!$N$333,Itemized!$N$340,Itemized!$N$347,Itemized!$N$348,Itemized!$N$349,Itemized!$N$350,Itemized!$N$351,Itemized!$N$352,Itemized!$N$353,Itemized!$N$355,Itemized!$N$356,Itemized!$N$366,Itemized!$N$367,Itemized!$N$368,Itemized!$N$369,Itemized!$N$370,Itemized!$N$371,Itemized!$N$372,Itemized!$N$439,Itemized!$N$440,Itemized!$N$442,Itemized!$N$444,Itemized!$N$445,Itemized!$N$449,Itemized!$N$450,Itemized!$N$451,Itemized!$N$456,Itemized!$N$457,Itemized!$N$468,Itemized!$N$471,Itemized!$N$472,Itemized!$N$473,Itemized!$N$474,Itemized!$N$475,Itemized!$N$476,Itemized!$N$477,Itemized!$N$478,Itemized!$N$479,Itemized!$N$480,Itemized!$N$481,Itemized!$N$482,Itemized!$N$483,Itemized!$N$484,Itemized!$N$485,Itemized!$N$486,Itemized!$N$487,Itemized!$N$488,Itemized!$N$489,Itemized!$N$490,Itemized!$N$491,Itemized!$N$492,Itemized!$N$493,Itemized!$N$494,Itemized!$N$495,Itemized!$N$496,Itemized!$N$497,Itemized!$N$498,Itemized!$N$499,Itemized!$N$500,Itemized!$N$501,Itemized!$N$502,Itemized!$N$503,Itemized!$N$504,Itemized!$N$505,Itemized!$N$506,Itemized!$N$507,Itemized!$N$508,Itemized!$N$509,Itemized!$N$510,Itemized!$N$511,Itemized!$N$512,Itemized!$N$513,Itemized!$N$514,Itemized!$N$515,Itemized!$N$516,Itemized!$N$517,Itemized!$N$518,Itemized!$N$519,Itemized!$N$520,Itemized!$N$521,Itemized!$N$522,Itemized!$N$523,Itemized!$N$524,Itemized!$N$525,Itemized!$N$526,Itemized!$N$527,Itemized!$N$528,Itemized!$N$529,Itemized!$N$530,Itemized!$N$531,Itemized!$N$532,Itemized!$N$533,Itemized!$N$534,Itemized!$N$535,Itemized!$N$536,Itemized!$N$537,Itemized!$N$538,Itemized!$N$539,Itemized!$N$540,Itemized!$N$541,Itemized!$N$542,Itemized!$N$543,Itemized!$N$544,Itemized!$N$545,Itemized!$N$546,Itemized!$N$547,Itemized!$N$548,Itemized!$N$549,Itemized!$N$550,Itemized!$N$551,Itemized!$N$552,Itemized!$N$553,Itemized!$N$554,Itemized!$N$555,Itemized!$N$556,Itemized!$N$557,Itemized!$N$558,Itemized!$N$559,Itemized!$N$560,Itemized!$N$561,Itemized!$N$562,Itemized!$N$563,Itemized!$N$564,Itemized!$N$565,Itemized!$N$566,Itemized!$N$567,Itemized!$N$568,Itemized!$N$569,Itemized!$N$570,Itemized!$N$571,Itemized!$N$572,Itemized!$N$573,Itemized!$N$574,Itemized!$N$575,Itemized!$N$576,Itemized!$N$577,Itemized!$N$578,Itemized!$N$579,Itemized!$N$580,Itemized!$N$581,Itemized!$N$582,Itemized!$N$583,Itemized!$N$584,Itemized!$N$585,Itemized!$N$586,Itemized!$N$587,Itemized!$N$588,Itemized!$N$589,Itemized!$N$590,Itemized!$N$591,Itemized!$N$592,Itemized!$N$593,Itemized!$N$594,Itemized!$N$595,Itemized!$N$596,Itemized!$N$597,Itemized!$N$598,Itemized!$N$599,Itemized!$N$600,Itemized!$N$601,Itemized!$N$602,Itemized!$N$603,Itemized!$N$604,Itemized!$N$605,Itemized!$N$606,Itemized!$N$607,Itemized!$N$608,Itemized!$N$609,Itemized!$N$610,Itemized!$N$611,Itemized!$N$612,Itemized!$N$613,Itemized!$N$614,Itemized!$N$615,Itemized!$N$616,Itemized!$N$617,Itemized!$N$618,Itemized!$N$619,Itemized!$N$620,Itemized!$N$621,Itemized!$N$622,Itemized!$N$623,Itemized!$N$624,Itemized!$N$625,Itemized!$N$626,Itemized!$N$627,Itemized!$N$628,Itemized!$N$629,Itemized!$N$687)/12</x:f>
        <x:v>123134.17249999988</x:v>
      </x:c>
      <x:c r="E13" s="17" t="n">
        <x:f>IF($E$5="Low",B13,IF($E$5="High",D13,C13))</x:f>
        <x:v>105578.51500000003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2" t="str">
        <x:v>Model boundaries</x:v>
      </x:c>
      <x:c r="B16" s="22"/>
      <x:c r="C16" s="22"/>
      <x:c r="D16" s="22"/>
      <x:c r="E16" s="22"/>
      <x:c r="F16" s="22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54" customHeight="1">
      <x:c r="A17" s="23" t="str">
        <x:v>One location; ages 2–5 confirmed by owner and business plan. Costing case: 40 children, four rooms and 260 operating days. Historical plan shows weekdays 7am–6pm (11 hours), not a verified current schedule. Documents conflict on capacity (40/50/41); actual license, room count, enrollment, lease and revenue remain unverified.</x:v>
      </x:c>
      <x:c r="B17" s="23"/>
      <x:c r="C17" s="23"/>
      <x:c r="D17" s="23"/>
      <x:c r="E17" s="23"/>
      <x:c r="F17" s="23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54" customHeight="1">
      <x:c r="A18" s="26" t="str">
        <x:v>12 episodes ×7 minutes =84 finished minutes. Four primary plus17 proposed supporting characters. Human-reviewed English and Spanish content; approved finite messages only.</x:v>
      </x:c>
      <x:c r="B18" s="26"/>
      <x:c r="C18" s="26"/>
      <x:c r="D18" s="26"/>
      <x:c r="E18" s="26"/>
      <x:c r="F18" s="26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54" customHeight="1">
      <x:c r="A19" s="23" t="str">
        <x:v>15 named staff seats;8 classroom teachers +2 floaters =400 scheduled hours/week.40h per person avoids modeled overtime.400 substitute hours is an allowance, not verified coverage sufficiency.</x:v>
      </x:c>
      <x:c r="B19" s="23"/>
      <x:c r="C19" s="23"/>
      <x:c r="D19" s="23"/>
      <x:c r="E19" s="23"/>
      <x:c r="F19" s="23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54" customHeight="1">
      <x:c r="A20" s="26" t="str">
        <x:v>Payroll benefits voluntarily modeled for part-time staff too. IRS/MO caps per employee; WC/health/retirement are allowances. Final insurance and employer tax notices control.</x:v>
      </x:c>
      <x:c r="B20" s="26"/>
      <x:c r="C20" s="26"/>
      <x:c r="D20" s="26"/>
      <x:c r="E20" s="26"/>
      <x:c r="F20" s="26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54" customHeight="1">
      <x:c r="A21" s="23" t="str">
        <x:v>50 tablets acquired upfront and managed for12months, matching40children plus10spares. NO540-tablet expansion or revenue offset.</x:v>
      </x:c>
      <x:c r="B21" s="23"/>
      <x:c r="C21" s="23"/>
      <x:c r="D21" s="23"/>
      <x:c r="E21" s="23"/>
      <x:c r="F21" s="23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54" customHeight="1">
      <x:c r="A22" s="26" t="str">
        <x:v>Card processing assumption $400,000 volume/2,000transactions; Billing applies to $100,000 subset and stacks with card processing. Tablet fees included in total volume, not charged twice.</x:v>
      </x:c>
      <x:c r="B22" s="26"/>
      <x:c r="C22" s="26"/>
      <x:c r="D22" s="26"/>
      <x:c r="E22" s="26"/>
      <x:c r="F22" s="26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54" customHeight="1">
      <x:c r="A23" s="23" t="str">
        <x:v>40 children ×260days food budget components sum $3.51/child-day. Not a documented nutrition-compliant menu purchase basket; price local menus before approval.</x:v>
      </x:c>
      <x:c r="B23" s="23"/>
      <x:c r="C23" s="23"/>
      <x:c r="D23" s="23"/>
      <x:c r="E23" s="23"/>
      <x:c r="F23" s="23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54" customHeight="1">
      <x:c r="A24" s="26" t="str">
        <x:v>Lease modeled4,500SF×$24gross annual based on local comparable. Existing center lease or ownership cost could materially change total. No new building acquisition or full renovation assumed.</x:v>
      </x:c>
      <x:c r="B24" s="26"/>
      <x:c r="C24" s="26"/>
      <x:c r="D24" s="26"/>
      <x:c r="E24" s="26"/>
      <x:c r="F24" s="26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54" customHeight="1">
      <x:c r="A25" s="23" t="str">
        <x:v>Gross cost model takes no credit for tuition, sales, grants or subscriptions. Working capital reserves are cash balances, not annual P&amp;L expense. Refundable lease deposit is a cash requirement, not expense.</x:v>
      </x:c>
      <x:c r="B25" s="23"/>
      <x:c r="C25" s="23"/>
      <x:c r="D25" s="23"/>
      <x:c r="E25" s="23"/>
      <x:c r="F25" s="23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54" customHeight="1">
      <x:c r="A26" s="26" t="str">
        <x:v>Creator future product direction520h×$150 and creative direction260h×$125 are proposal allowances, not proven industry averages or current contracted compensation. Engineering/production is priced once in deliverable scopes.</x:v>
      </x:c>
      <x:c r="B26" s="26"/>
      <x:c r="C26" s="26"/>
      <x:c r="D26" s="26"/>
      <x:c r="E26" s="26"/>
      <x:c r="F26" s="26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54" customHeight="1">
      <x:c r="A27" s="23" t="str">
        <x:v>Historical work is not automatically payable. Separate replacement scenario requires repository/asset inventory, original hour records, deliverable acceptance and IP/contract review.</x:v>
      </x:c>
      <x:c r="B27" s="23"/>
      <x:c r="C27" s="23"/>
      <x:c r="D27" s="23"/>
      <x:c r="E27" s="23"/>
      <x:c r="F27" s="23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54" customHeight="1">
      <x:c r="A28" s="26" t="str">
        <x:v>All rates are USD except animation sourceCAD converted with .73 assumed FX. Published prices may exclude tax; custom scope/salaries are estimates, not accepted quotes.</x:v>
      </x:c>
      <x:c r="B28" s="26"/>
      <x:c r="C28" s="26"/>
      <x:c r="D28" s="26"/>
      <x:c r="E28" s="26"/>
      <x:c r="F28" s="26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54" customHeight="1">
      <x:c r="A29" s="23" t="str">
        <x:v>Facility equipment lines assume acquisition. Inventory what exists first; remove/reduce accepted reuse rather than claiming every purchase necessary.</x:v>
      </x:c>
      <x:c r="B29" s="23"/>
      <x:c r="C29" s="23"/>
      <x:c r="D29" s="23"/>
      <x:c r="E29" s="23"/>
      <x:c r="F29" s="23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54" customHeight="1">
      <x:c r="A30" s="26" t="str">
        <x:v>8% procurement tax allowance is conservative and not actual tax advice. Loan fees/interest/principal require accepted terms and separate cashflow underwriting.</x:v>
      </x:c>
      <x:c r="B30" s="26"/>
      <x:c r="C30" s="26"/>
      <x:c r="D30" s="26"/>
      <x:c r="E30" s="26"/>
      <x:c r="F30" s="26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54" customHeight="1">
      <x:c r="A31" s="23" t="str">
        <x:v>No transport service, building purchase, verified accreditation fee, owner historical back-pay, custom open-ended child AI, or signed external-location rollout. These are explicit exclusions, not zero-cost claims.</x:v>
      </x:c>
      <x:c r="B31" s="23"/>
      <x:c r="C31" s="23"/>
      <x:c r="D31" s="23"/>
      <x:c r="E31" s="23"/>
      <x:c r="F31" s="23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54" customHeight="1">
      <x:c r="A32" s="26" t="str">
        <x:v>No claim this book is IRS-ready, fully contracted or operational certification. Cents indicate reproducible arithmetic, not quote accuracy. Allowance sensitivity has no statistical market-average meaning.</x:v>
      </x:c>
      <x:c r="B32" s="26"/>
      <x:c r="C32" s="26"/>
      <x:c r="D32" s="26"/>
      <x:c r="E32" s="26"/>
      <x:c r="F32" s="26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1:J1"/>
    <x:mergeCell ref="A2:J2"/>
    <x:mergeCell ref="A16:F16"/>
    <x:mergeCell ref="A17:F17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</x:mergeCells>
  <x:dataValidations count="1">
    <x:dataValidation type="list" sqref="E5">
      <x:formula1>"Low,Base,High"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87E8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12" hidden="0" customWidth="1"/>
    <x:col min="5" max="5" width="10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30" hidden="0" customWidth="1"/>
    <x:col min="11" max="11" width="14" hidden="0" customWidth="1"/>
    <x:col min="12" max="12" width="15" hidden="0" customWidth="1"/>
    <x:col min="13" max="13" width="15" hidden="0" customWidth="1"/>
    <x:col min="14" max="14" width="15" hidden="0" customWidth="1"/>
    <x:col min="15" max="15" width="50" hidden="0" customWidth="1"/>
  </x:cols>
  <x:sheetData>
    <x:row r="1" ht="34" customHeight="1">
      <x:c r="A1" s="4" t="str">
        <x:v>Itemized costs | every line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7" t="str">
        <x:v>Scenario totals are live formulas. Edit the quantity or rates in blue cells only when you have a new quote or approved planning assumption.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13" t="str">
        <x:v>ID</x:v>
      </x:c>
      <x:c r="B4" s="13" t="str">
        <x:v>Facet</x:v>
      </x:c>
      <x:c r="C4" s="13" t="str">
        <x:v>Item</x:v>
      </x:c>
      <x:c r="D4" s="13" t="str">
        <x:v>Unit</x:v>
      </x:c>
      <x:c r="E4" s="13" t="str">
        <x:v>Qty</x:v>
      </x:c>
      <x:c r="F4" s="13" t="str">
        <x:v>Low rate</x:v>
      </x:c>
      <x:c r="G4" s="13" t="str">
        <x:v>Base rate</x:v>
      </x:c>
      <x:c r="H4" s="13" t="str">
        <x:v>Bucket</x:v>
      </x:c>
      <x:c r="I4" s="13" t="str">
        <x:v>High rate</x:v>
      </x:c>
      <x:c r="J4" s="13" t="str">
        <x:v>Status</x:v>
      </x:c>
      <x:c r="K4" s="13" t="str">
        <x:v>Source ID</x:v>
      </x:c>
      <x:c r="L4" s="13" t="str">
        <x:v>Low total</x:v>
      </x:c>
      <x:c r="M4" s="13" t="str">
        <x:v>Base total</x:v>
      </x:c>
      <x:c r="N4" s="13" t="str">
        <x:v>High total</x:v>
      </x:c>
      <x:c r="O4" s="13" t="str">
        <x:v>Notes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8" customHeight="1">
      <x:c r="A5" s="1" t="str">
        <x:v>CNT-001</x:v>
      </x:c>
      <x:c r="B5" s="1" t="str">
        <x:v>Content production</x:v>
      </x:c>
      <x:c r="C5" s="18" t="str">
        <x:v>content strategy and learning outcomes map</x:v>
      </x:c>
      <x:c r="D5" s="18" t="str">
        <x:v>hour</x:v>
      </x:c>
      <x:c r="E5" s="32" t="n">
        <x:v>40</x:v>
      </x:c>
      <x:c r="F5" s="33" t="n">
        <x:v>125</x:v>
      </x:c>
      <x:c r="G5" s="33" t="n">
        <x:v>125</x:v>
      </x:c>
      <x:c r="H5" s="34" t="str">
        <x:v>one_time</x:v>
      </x:c>
      <x:c r="I5" s="33" t="n">
        <x:v>125</x:v>
      </x:c>
      <x:c r="J5" s="35" t="str">
        <x:v>Published rate × assumed quantity</x:v>
      </x:c>
      <x:c r="K5" s="36" t="str">
        <x:v>ED</x:v>
      </x:c>
      <x:c r="L5" s="37" t="n">
        <x:f>ROUND(E5*F5,2)</x:f>
        <x:v>5000</x:v>
      </x:c>
      <x:c r="M5" s="37" t="n">
        <x:f>ROUND(E5*G5,2)</x:f>
        <x:v>5000</x:v>
      </x:c>
      <x:c r="N5" s="37" t="n">
        <x:f>ROUND(E5*I5,2)</x:f>
        <x:v>5000</x:v>
      </x:c>
      <x:c r="O5" s="18" t="str">
        <x:v>Learning strategy; 40 assumed hours.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8" customHeight="1">
      <x:c r="A6" s="1" t="str">
        <x:v>CNT-002</x:v>
      </x:c>
      <x:c r="B6" s="1" t="str">
        <x:v>Content production</x:v>
      </x:c>
      <x:c r="C6" s="18" t="str">
        <x:v>season story arc and episode loglines</x:v>
      </x:c>
      <x:c r="D6" s="18" t="str">
        <x:v>hour</x:v>
      </x:c>
      <x:c r="E6" s="32" t="n">
        <x:v>40</x:v>
      </x:c>
      <x:c r="F6" s="33" t="n">
        <x:v>100</x:v>
      </x:c>
      <x:c r="G6" s="33" t="n">
        <x:v>125</x:v>
      </x:c>
      <x:c r="H6" s="34" t="str">
        <x:v>one_time</x:v>
      </x:c>
      <x:c r="I6" s="33" t="n">
        <x:v>156.25</x:v>
      </x:c>
      <x:c r="J6" s="35" t="str">
        <x:v>Planning allowance; written quote needed</x:v>
      </x:c>
      <x:c r="K6" s="36" t="str">
        <x:v>ALLOW</x:v>
      </x:c>
      <x:c r="L6" s="37" t="n">
        <x:f>ROUND(E6*F6,2)</x:f>
        <x:v>4000</x:v>
      </x:c>
      <x:c r="M6" s="37" t="n">
        <x:f>ROUND(E6*G6,2)</x:f>
        <x:v>5000</x:v>
      </x:c>
      <x:c r="N6" s="37" t="n">
        <x:f>ROUND(E6*I6,2)</x:f>
        <x:v>6250</x:v>
      </x:c>
      <x:c r="O6" s="18" t="str">
        <x:v>Season arc Low/high are -20%/+25% rate sensitivity, not observed market range.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8" customHeight="1">
      <x:c r="A7" s="1" t="str">
        <x:v>CNT-003</x:v>
      </x:c>
      <x:c r="B7" s="1" t="str">
        <x:v>Content production</x:v>
      </x:c>
      <x:c r="C7" s="18" t="str">
        <x:v>episode learning objective map</x:v>
      </x:c>
      <x:c r="D7" s="18" t="str">
        <x:v>hour</x:v>
      </x:c>
      <x:c r="E7" s="32" t="n">
        <x:v>24</x:v>
      </x:c>
      <x:c r="F7" s="33" t="n">
        <x:v>125</x:v>
      </x:c>
      <x:c r="G7" s="33" t="n">
        <x:v>125</x:v>
      </x:c>
      <x:c r="H7" s="34" t="str">
        <x:v>one_time</x:v>
      </x:c>
      <x:c r="I7" s="33" t="n">
        <x:v>125</x:v>
      </x:c>
      <x:c r="J7" s="35" t="str">
        <x:v>Published rate × assumed quantity</x:v>
      </x:c>
      <x:c r="K7" s="36" t="str">
        <x:v>ED</x:v>
      </x:c>
      <x:c r="L7" s="37" t="n">
        <x:f>ROUND(E7*F7,2)</x:f>
        <x:v>3000</x:v>
      </x:c>
      <x:c r="M7" s="37" t="n">
        <x:f>ROUND(E7*G7,2)</x:f>
        <x:v>3000</x:v>
      </x:c>
      <x:c r="N7" s="37" t="n">
        <x:f>ROUND(E7*I7,2)</x:f>
        <x:v>3000</x:v>
      </x:c>
      <x:c r="O7" s="18" t="str">
        <x:v>12 episode maps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8" customHeight="1">
      <x:c r="A8" s="1" t="str">
        <x:v>CNT-004</x:v>
      </x:c>
      <x:c r="B8" s="1" t="str">
        <x:v>Content production</x:v>
      </x:c>
      <x:c r="C8" s="18" t="str">
        <x:v>content risk and age appropriateness review</x:v>
      </x:c>
      <x:c r="D8" s="18" t="str">
        <x:v>hour</x:v>
      </x:c>
      <x:c r="E8" s="32" t="n">
        <x:v>32</x:v>
      </x:c>
      <x:c r="F8" s="33" t="n">
        <x:v>120</x:v>
      </x:c>
      <x:c r="G8" s="33" t="n">
        <x:v>150</x:v>
      </x:c>
      <x:c r="H8" s="34" t="str">
        <x:v>one_time</x:v>
      </x:c>
      <x:c r="I8" s="33" t="n">
        <x:v>187.5</x:v>
      </x:c>
      <x:c r="J8" s="35" t="str">
        <x:v>Planning allowance; written quote needed</x:v>
      </x:c>
      <x:c r="K8" s="36" t="str">
        <x:v>ALLOW</x:v>
      </x:c>
      <x:c r="L8" s="37" t="n">
        <x:f>ROUND(E8*F8,2)</x:f>
        <x:v>3840</x:v>
      </x:c>
      <x:c r="M8" s="37" t="n">
        <x:f>ROUND(E8*G8,2)</x:f>
        <x:v>4800</x:v>
      </x:c>
      <x:c r="N8" s="37" t="n">
        <x:f>ROUND(E8*I8,2)</x:f>
        <x:v>6000</x:v>
      </x:c>
      <x:c r="O8" s="18" t="str">
        <x:v>Age/child-development specialist Low/high are -20%/+25% rate sensitivity, not observed market range.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8" customHeight="1">
      <x:c r="A9" s="1" t="str">
        <x:v>CNT-005</x:v>
      </x:c>
      <x:c r="B9" s="1" t="str">
        <x:v>Content production</x:v>
      </x:c>
      <x:c r="C9" s="18" t="str">
        <x:v>episode treatment</x:v>
      </x:c>
      <x:c r="D9" s="18" t="str">
        <x:v>hour</x:v>
      </x:c>
      <x:c r="E9" s="32" t="n">
        <x:v>48</x:v>
      </x:c>
      <x:c r="F9" s="33" t="n">
        <x:v>80</x:v>
      </x:c>
      <x:c r="G9" s="33" t="n">
        <x:v>100</x:v>
      </x:c>
      <x:c r="H9" s="34" t="str">
        <x:v>one_time</x:v>
      </x:c>
      <x:c r="I9" s="33" t="n">
        <x:v>125</x:v>
      </x:c>
      <x:c r="J9" s="35" t="str">
        <x:v>Planning allowance; written quote needed</x:v>
      </x:c>
      <x:c r="K9" s="36" t="str">
        <x:v>ALLOW</x:v>
      </x:c>
      <x:c r="L9" s="37" t="n">
        <x:f>ROUND(E9*F9,2)</x:f>
        <x:v>3840</x:v>
      </x:c>
      <x:c r="M9" s="37" t="n">
        <x:f>ROUND(E9*G9,2)</x:f>
        <x:v>4800</x:v>
      </x:c>
      <x:c r="N9" s="37" t="n">
        <x:f>ROUND(E9*I9,2)</x:f>
        <x:v>6000</x:v>
      </x:c>
      <x:c r="O9" s="18" t="str">
        <x:v>4h per treatment Low/high are -20%/+25% rate sensitivity, not observed market range.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8" customHeight="1">
      <x:c r="A10" s="1" t="str">
        <x:v>CNT-006</x:v>
      </x:c>
      <x:c r="B10" s="1" t="str">
        <x:v>Content production</x:v>
      </x:c>
      <x:c r="C10" s="18" t="str">
        <x:v>episode script draft</x:v>
      </x:c>
      <x:c r="D10" s="18" t="str">
        <x:v>hour</x:v>
      </x:c>
      <x:c r="E10" s="32" t="n">
        <x:v>144</x:v>
      </x:c>
      <x:c r="F10" s="33" t="n">
        <x:v>80</x:v>
      </x:c>
      <x:c r="G10" s="33" t="n">
        <x:v>100</x:v>
      </x:c>
      <x:c r="H10" s="34" t="str">
        <x:v>one_time</x:v>
      </x:c>
      <x:c r="I10" s="33" t="n">
        <x:v>125</x:v>
      </x:c>
      <x:c r="J10" s="35" t="str">
        <x:v>Planning allowance; written quote needed</x:v>
      </x:c>
      <x:c r="K10" s="36" t="str">
        <x:v>ALLOW</x:v>
      </x:c>
      <x:c r="L10" s="37" t="n">
        <x:f>ROUND(E10*F10,2)</x:f>
        <x:v>11520</x:v>
      </x:c>
      <x:c r="M10" s="37" t="n">
        <x:f>ROUND(E10*G10,2)</x:f>
        <x:v>14400</x:v>
      </x:c>
      <x:c r="N10" s="37" t="n">
        <x:f>ROUND(E10*I10,2)</x:f>
        <x:v>18000</x:v>
      </x:c>
      <x:c r="O10" s="18" t="str">
        <x:v>12h per seven-minute script Low/high are -20%/+25% rate sensitivity, not observed market range.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8" customHeight="1">
      <x:c r="A11" s="1" t="str">
        <x:v>CNT-007</x:v>
      </x:c>
      <x:c r="B11" s="1" t="str">
        <x:v>Content production</x:v>
      </x:c>
      <x:c r="C11" s="18" t="str">
        <x:v>script revision rounds</x:v>
      </x:c>
      <x:c r="D11" s="18" t="str">
        <x:v>hour</x:v>
      </x:c>
      <x:c r="E11" s="32" t="n">
        <x:v>72</x:v>
      </x:c>
      <x:c r="F11" s="33" t="n">
        <x:v>80</x:v>
      </x:c>
      <x:c r="G11" s="33" t="n">
        <x:v>100</x:v>
      </x:c>
      <x:c r="H11" s="34" t="str">
        <x:v>one_time</x:v>
      </x:c>
      <x:c r="I11" s="33" t="n">
        <x:v>125</x:v>
      </x:c>
      <x:c r="J11" s="35" t="str">
        <x:v>Planning allowance; written quote needed</x:v>
      </x:c>
      <x:c r="K11" s="36" t="str">
        <x:v>ALLOW</x:v>
      </x:c>
      <x:c r="L11" s="37" t="n">
        <x:f>ROUND(E11*F11,2)</x:f>
        <x:v>5760</x:v>
      </x:c>
      <x:c r="M11" s="37" t="n">
        <x:f>ROUND(E11*G11,2)</x:f>
        <x:v>7200</x:v>
      </x:c>
      <x:c r="N11" s="37" t="n">
        <x:f>ROUND(E11*I11,2)</x:f>
        <x:v>9000</x:v>
      </x:c>
      <x:c r="O11" s="18" t="str">
        <x:v>6h revisions per episode Low/high are -20%/+25% rate sensitivity, not observed market range.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8" customHeight="1">
      <x:c r="A12" s="1" t="str">
        <x:v>CNT-008</x:v>
      </x:c>
      <x:c r="B12" s="1" t="str">
        <x:v>Content production</x:v>
      </x:c>
      <x:c r="C12" s="18" t="str">
        <x:v>QR habit micro-script</x:v>
      </x:c>
      <x:c r="D12" s="18" t="str">
        <x:v>hour</x:v>
      </x:c>
      <x:c r="E12" s="32" t="n">
        <x:v>40</x:v>
      </x:c>
      <x:c r="F12" s="33" t="n">
        <x:v>80</x:v>
      </x:c>
      <x:c r="G12" s="33" t="n">
        <x:v>100</x:v>
      </x:c>
      <x:c r="H12" s="34" t="str">
        <x:v>one_time</x:v>
      </x:c>
      <x:c r="I12" s="33" t="n">
        <x:v>125</x:v>
      </x:c>
      <x:c r="J12" s="35" t="str">
        <x:v>Planning allowance; written quote needed</x:v>
      </x:c>
      <x:c r="K12" s="36" t="str">
        <x:v>ALLOW</x:v>
      </x:c>
      <x:c r="L12" s="37" t="n">
        <x:f>ROUND(E12*F12,2)</x:f>
        <x:v>3200</x:v>
      </x:c>
      <x:c r="M12" s="37" t="n">
        <x:f>ROUND(E12*G12,2)</x:f>
        <x:v>4000</x:v>
      </x:c>
      <x:c r="N12" s="37" t="n">
        <x:f>ROUND(E12*I12,2)</x:f>
        <x:v>5000</x:v>
      </x:c>
      <x:c r="O12" s="18" t="str">
        <x:v>40 habit/message scripts Low/high are -20%/+25% rate sensitivity, not observed market range.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8" customHeight="1">
      <x:c r="A13" s="1" t="str">
        <x:v>CNT-009</x:v>
      </x:c>
      <x:c r="B13" s="1" t="str">
        <x:v>Content production</x:v>
      </x:c>
      <x:c r="C13" s="18" t="str">
        <x:v>promo and trailer scripts</x:v>
      </x:c>
      <x:c r="D13" s="18" t="str">
        <x:v>hour</x:v>
      </x:c>
      <x:c r="E13" s="32" t="n">
        <x:v>24</x:v>
      </x:c>
      <x:c r="F13" s="33" t="n">
        <x:v>80</x:v>
      </x:c>
      <x:c r="G13" s="33" t="n">
        <x:v>100</x:v>
      </x:c>
      <x:c r="H13" s="34" t="str">
        <x:v>one_time</x:v>
      </x:c>
      <x:c r="I13" s="33" t="n">
        <x:v>125</x:v>
      </x:c>
      <x:c r="J13" s="35" t="str">
        <x:v>Planning allowance; written quote needed</x:v>
      </x:c>
      <x:c r="K13" s="36" t="str">
        <x:v>ALLOW</x:v>
      </x:c>
      <x:c r="L13" s="37" t="n">
        <x:f>ROUND(E13*F13,2)</x:f>
        <x:v>1920</x:v>
      </x:c>
      <x:c r="M13" s="37" t="n">
        <x:f>ROUND(E13*G13,2)</x:f>
        <x:v>2400</x:v>
      </x:c>
      <x:c r="N13" s="37" t="n">
        <x:f>ROUND(E13*I13,2)</x:f>
        <x:v>3000</x:v>
      </x:c>
      <x:c r="O13" s="18" t="str">
        <x:v>Promos Low/high are -20%/+25% rate sensitivity, not observed market range.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8" customHeight="1">
      <x:c r="A14" s="1" t="str">
        <x:v>CNT-010</x:v>
      </x:c>
      <x:c r="B14" s="1" t="str">
        <x:v>Content production</x:v>
      </x:c>
      <x:c r="C14" s="18" t="str">
        <x:v>parent take-home copy</x:v>
      </x:c>
      <x:c r="D14" s="18" t="str">
        <x:v>hour</x:v>
      </x:c>
      <x:c r="E14" s="32" t="n">
        <x:v>36</x:v>
      </x:c>
      <x:c r="F14" s="33" t="n">
        <x:v>60</x:v>
      </x:c>
      <x:c r="G14" s="33" t="n">
        <x:v>75</x:v>
      </x:c>
      <x:c r="H14" s="34" t="str">
        <x:v>one_time</x:v>
      </x:c>
      <x:c r="I14" s="33" t="n">
        <x:v>93.75</x:v>
      </x:c>
      <x:c r="J14" s="35" t="str">
        <x:v>Planning allowance; written quote needed</x:v>
      </x:c>
      <x:c r="K14" s="36" t="str">
        <x:v>ALLOW</x:v>
      </x:c>
      <x:c r="L14" s="37" t="n">
        <x:f>ROUND(E14*F14,2)</x:f>
        <x:v>2160</x:v>
      </x:c>
      <x:c r="M14" s="37" t="n">
        <x:f>ROUND(E14*G14,2)</x:f>
        <x:v>2700</x:v>
      </x:c>
      <x:c r="N14" s="37" t="n">
        <x:f>ROUND(E14*I14,2)</x:f>
        <x:v>3375</x:v>
      </x:c>
      <x:c r="O14" s="18" t="str">
        <x:v>Parent companion copy Low/high are -20%/+25% rate sensitivity, not observed market range.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8" customHeight="1">
      <x:c r="A15" s="1" t="str">
        <x:v>CNT-011</x:v>
      </x:c>
      <x:c r="B15" s="1" t="str">
        <x:v>Content production</x:v>
      </x:c>
      <x:c r="C15" s="18" t="str">
        <x:v>thumbnail storyboard</x:v>
      </x:c>
      <x:c r="D15" s="18" t="str">
        <x:v>hour</x:v>
      </x:c>
      <x:c r="E15" s="32" t="n">
        <x:v>240</x:v>
      </x:c>
      <x:c r="F15" s="33" t="n">
        <x:v>72</x:v>
      </x:c>
      <x:c r="G15" s="33" t="n">
        <x:v>90</x:v>
      </x:c>
      <x:c r="H15" s="34" t="str">
        <x:v>one_time</x:v>
      </x:c>
      <x:c r="I15" s="33" t="n">
        <x:v>112.5</x:v>
      </x:c>
      <x:c r="J15" s="35" t="str">
        <x:v>Planning allowance; written quote needed</x:v>
      </x:c>
      <x:c r="K15" s="36" t="str">
        <x:v>ALLOW</x:v>
      </x:c>
      <x:c r="L15" s="37" t="n">
        <x:f>ROUND(E15*F15,2)</x:f>
        <x:v>17280</x:v>
      </x:c>
      <x:c r="M15" s="37" t="n">
        <x:f>ROUND(E15*G15,2)</x:f>
        <x:v>21600</x:v>
      </x:c>
      <x:c r="N15" s="37" t="n">
        <x:f>ROUND(E15*I15,2)</x:f>
        <x:v>27000</x:v>
      </x:c>
      <x:c r="O15" s="18" t="str">
        <x:v>20h boards per episode Low/high are -20%/+25% rate sensitivity, not observed market range.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8" customHeight="1">
      <x:c r="A16" s="1" t="str">
        <x:v>CNT-012</x:v>
      </x:c>
      <x:c r="B16" s="1" t="str">
        <x:v>Content production</x:v>
      </x:c>
      <x:c r="C16" s="18" t="str">
        <x:v>storyboard revision rounds</x:v>
      </x:c>
      <x:c r="D16" s="18" t="str">
        <x:v>hour</x:v>
      </x:c>
      <x:c r="E16" s="32" t="n">
        <x:v>60</x:v>
      </x:c>
      <x:c r="F16" s="33" t="n">
        <x:v>72</x:v>
      </x:c>
      <x:c r="G16" s="33" t="n">
        <x:v>90</x:v>
      </x:c>
      <x:c r="H16" s="34" t="str">
        <x:v>one_time</x:v>
      </x:c>
      <x:c r="I16" s="33" t="n">
        <x:v>112.5</x:v>
      </x:c>
      <x:c r="J16" s="35" t="str">
        <x:v>Planning allowance; written quote needed</x:v>
      </x:c>
      <x:c r="K16" s="36" t="str">
        <x:v>ALLOW</x:v>
      </x:c>
      <x:c r="L16" s="37" t="n">
        <x:f>ROUND(E16*F16,2)</x:f>
        <x:v>4320</x:v>
      </x:c>
      <x:c r="M16" s="37" t="n">
        <x:f>ROUND(E16*G16,2)</x:f>
        <x:v>5400</x:v>
      </x:c>
      <x:c r="N16" s="37" t="n">
        <x:f>ROUND(E16*I16,2)</x:f>
        <x:v>6750</x:v>
      </x:c>
      <x:c r="O16" s="18" t="str">
        <x:v>5h per episode Low/high are -20%/+25% rate sensitivity, not observed market range.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8" customHeight="1">
      <x:c r="A17" s="1" t="str">
        <x:v>CNT-013</x:v>
      </x:c>
      <x:c r="B17" s="1" t="str">
        <x:v>Content production</x:v>
      </x:c>
      <x:c r="C17" s="18" t="str">
        <x:v>animatic assembly</x:v>
      </x:c>
      <x:c r="D17" s="18" t="str">
        <x:v>hour</x:v>
      </x:c>
      <x:c r="E17" s="32" t="n">
        <x:v>96</x:v>
      </x:c>
      <x:c r="F17" s="33" t="n">
        <x:v>80</x:v>
      </x:c>
      <x:c r="G17" s="33" t="n">
        <x:v>100</x:v>
      </x:c>
      <x:c r="H17" s="34" t="str">
        <x:v>one_time</x:v>
      </x:c>
      <x:c r="I17" s="33" t="n">
        <x:v>125</x:v>
      </x:c>
      <x:c r="J17" s="35" t="str">
        <x:v>Planning allowance; written quote needed</x:v>
      </x:c>
      <x:c r="K17" s="36" t="str">
        <x:v>ALLOW</x:v>
      </x:c>
      <x:c r="L17" s="37" t="n">
        <x:f>ROUND(E17*F17,2)</x:f>
        <x:v>7680</x:v>
      </x:c>
      <x:c r="M17" s="37" t="n">
        <x:f>ROUND(E17*G17,2)</x:f>
        <x:v>9600</x:v>
      </x:c>
      <x:c r="N17" s="37" t="n">
        <x:f>ROUND(E17*I17,2)</x:f>
        <x:v>12000</x:v>
      </x:c>
      <x:c r="O17" s="18" t="str">
        <x:v>8h animatic per episode Low/high are -20%/+25% rate sensitivity, not observed market range.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48" customHeight="1">
      <x:c r="A18" s="1" t="str">
        <x:v>CNT-014</x:v>
      </x:c>
      <x:c r="B18" s="1" t="str">
        <x:v>Content production</x:v>
      </x:c>
      <x:c r="C18" s="18" t="str">
        <x:v>character model-sheet audit</x:v>
      </x:c>
      <x:c r="D18" s="18" t="str">
        <x:v>hour</x:v>
      </x:c>
      <x:c r="E18" s="32" t="n">
        <x:v>24</x:v>
      </x:c>
      <x:c r="F18" s="33" t="n">
        <x:v>80</x:v>
      </x:c>
      <x:c r="G18" s="33" t="n">
        <x:v>100</x:v>
      </x:c>
      <x:c r="H18" s="34" t="str">
        <x:v>one_time</x:v>
      </x:c>
      <x:c r="I18" s="33" t="n">
        <x:v>125</x:v>
      </x:c>
      <x:c r="J18" s="35" t="str">
        <x:v>Planning allowance; written quote needed</x:v>
      </x:c>
      <x:c r="K18" s="36" t="str">
        <x:v>ALLOW</x:v>
      </x:c>
      <x:c r="L18" s="37" t="n">
        <x:f>ROUND(E18*F18,2)</x:f>
        <x:v>1920</x:v>
      </x:c>
      <x:c r="M18" s="37" t="n">
        <x:f>ROUND(E18*G18,2)</x:f>
        <x:v>2400</x:v>
      </x:c>
      <x:c r="N18" s="37" t="n">
        <x:f>ROUND(E18*I18,2)</x:f>
        <x:v>3000</x:v>
      </x:c>
      <x:c r="O18" s="18" t="str">
        <x:v>Existing asset continuity review Low/high are -20%/+25% rate sensitivity, not observed market range.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48" customHeight="1">
      <x:c r="A19" s="1" t="str">
        <x:v>CNT-015</x:v>
      </x:c>
      <x:c r="B19" s="1" t="str">
        <x:v>Content production</x:v>
      </x:c>
      <x:c r="C19" s="18" t="str">
        <x:v>primary character turnaround</x:v>
      </x:c>
      <x:c r="D19" s="18" t="str">
        <x:v>character</x:v>
      </x:c>
      <x:c r="E19" s="32" t="n">
        <x:v>4</x:v>
      </x:c>
      <x:c r="F19" s="33" t="n">
        <x:v>650</x:v>
      </x:c>
      <x:c r="G19" s="33" t="n">
        <x:v>650</x:v>
      </x:c>
      <x:c r="H19" s="34" t="str">
        <x:v>one_time</x:v>
      </x:c>
      <x:c r="I19" s="33" t="n">
        <x:v>650</x:v>
      </x:c>
      <x:c r="J19" s="35" t="str">
        <x:v>Published rate × assumed quantity</x:v>
      </x:c>
      <x:c r="K19" s="36" t="str">
        <x:v>RIVE</x:v>
      </x:c>
      <x:c r="L19" s="37" t="n">
        <x:f>ROUND(E19*F19,2)</x:f>
        <x:v>2600</x:v>
      </x:c>
      <x:c r="M19" s="37" t="n">
        <x:f>ROUND(E19*G19,2)</x:f>
        <x:v>2600</x:v>
      </x:c>
      <x:c r="N19" s="37" t="n">
        <x:f>ROUND(E19*I19,2)</x:f>
        <x:v>2600</x:v>
      </x:c>
      <x:c r="O19" s="18" t="str">
        <x:v>Vendor design package proxy; turnaround deliverables quote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48" customHeight="1">
      <x:c r="A20" s="1" t="str">
        <x:v>CNT-016</x:v>
      </x:c>
      <x:c r="B20" s="1" t="str">
        <x:v>Content production</x:v>
      </x:c>
      <x:c r="C20" s="18" t="str">
        <x:v>sub-character design</x:v>
      </x:c>
      <x:c r="D20" s="18" t="str">
        <x:v>character</x:v>
      </x:c>
      <x:c r="E20" s="32" t="n">
        <x:v>17</x:v>
      </x:c>
      <x:c r="F20" s="33" t="n">
        <x:v>650</x:v>
      </x:c>
      <x:c r="G20" s="33" t="n">
        <x:v>650</x:v>
      </x:c>
      <x:c r="H20" s="34" t="str">
        <x:v>one_time</x:v>
      </x:c>
      <x:c r="I20" s="33" t="n">
        <x:v>650</x:v>
      </x:c>
      <x:c r="J20" s="35" t="str">
        <x:v>Published rate × assumed quantity</x:v>
      </x:c>
      <x:c r="K20" s="36" t="str">
        <x:v>RIVE</x:v>
      </x:c>
      <x:c r="L20" s="37" t="n">
        <x:f>ROUND(E20*F20,2)</x:f>
        <x:v>11050</x:v>
      </x:c>
      <x:c r="M20" s="37" t="n">
        <x:f>ROUND(E20*G20,2)</x:f>
        <x:v>11050</x:v>
      </x:c>
      <x:c r="N20" s="37" t="n">
        <x:f>ROUND(E20*I20,2)</x:f>
        <x:v>11050</x:v>
      </x:c>
      <x:c r="O20" s="18" t="str">
        <x:v>17 proposed supporting characters, not claimed approved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48" customHeight="1">
      <x:c r="A21" s="1" t="str">
        <x:v>CNT-017</x:v>
      </x:c>
      <x:c r="B21" s="1" t="str">
        <x:v>Content production</x:v>
      </x:c>
      <x:c r="C21" s="18" t="str">
        <x:v>expression and mouth chart</x:v>
      </x:c>
      <x:c r="D21" s="18" t="str">
        <x:v>hour</x:v>
      </x:c>
      <x:c r="E21" s="32" t="n">
        <x:v>42</x:v>
      </x:c>
      <x:c r="F21" s="33" t="n">
        <x:v>80</x:v>
      </x:c>
      <x:c r="G21" s="33" t="n">
        <x:v>100</x:v>
      </x:c>
      <x:c r="H21" s="34" t="str">
        <x:v>one_time</x:v>
      </x:c>
      <x:c r="I21" s="33" t="n">
        <x:v>125</x:v>
      </x:c>
      <x:c r="J21" s="35" t="str">
        <x:v>Planning allowance; written quote needed</x:v>
      </x:c>
      <x:c r="K21" s="36" t="str">
        <x:v>ALLOW</x:v>
      </x:c>
      <x:c r="L21" s="37" t="n">
        <x:f>ROUND(E21*F21,2)</x:f>
        <x:v>3360</x:v>
      </x:c>
      <x:c r="M21" s="37" t="n">
        <x:f>ROUND(E21*G21,2)</x:f>
        <x:v>4200</x:v>
      </x:c>
      <x:c r="N21" s="37" t="n">
        <x:f>ROUND(E21*I21,2)</x:f>
        <x:v>5250</x:v>
      </x:c>
      <x:c r="O21" s="18" t="str">
        <x:v>2h expression charts per character Low/high are -20%/+25% rate sensitivity, not observed market range.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48" customHeight="1">
      <x:c r="A22" s="1" t="str">
        <x:v>CNT-018</x:v>
      </x:c>
      <x:c r="B22" s="1" t="str">
        <x:v>Content production</x:v>
      </x:c>
      <x:c r="C22" s="18" t="str">
        <x:v>outfit and costume variants</x:v>
      </x:c>
      <x:c r="D22" s="18" t="str">
        <x:v>outfit</x:v>
      </x:c>
      <x:c r="E22" s="32" t="n">
        <x:v>16</x:v>
      </x:c>
      <x:c r="F22" s="33" t="n">
        <x:v>200</x:v>
      </x:c>
      <x:c r="G22" s="33" t="n">
        <x:v>250</x:v>
      </x:c>
      <x:c r="H22" s="34" t="str">
        <x:v>one_time</x:v>
      </x:c>
      <x:c r="I22" s="33" t="n">
        <x:v>312.5</x:v>
      </x:c>
      <x:c r="J22" s="35" t="str">
        <x:v>Planning allowance; written quote needed</x:v>
      </x:c>
      <x:c r="K22" s="36" t="str">
        <x:v>ALLOW</x:v>
      </x:c>
      <x:c r="L22" s="37" t="n">
        <x:f>ROUND(E22*F22,2)</x:f>
        <x:v>3200</x:v>
      </x:c>
      <x:c r="M22" s="37" t="n">
        <x:f>ROUND(E22*G22,2)</x:f>
        <x:v>4000</x:v>
      </x:c>
      <x:c r="N22" s="37" t="n">
        <x:f>ROUND(E22*I22,2)</x:f>
        <x:v>5000</x:v>
      </x:c>
      <x:c r="O22" s="18" t="str">
        <x:v>Four variants per primary Low/high are -20%/+25% rate sensitivity, not observed market range.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48" customHeight="1">
      <x:c r="A23" s="1" t="str">
        <x:v>CNT-019</x:v>
      </x:c>
      <x:c r="B23" s="1" t="str">
        <x:v>Content production</x:v>
      </x:c>
      <x:c r="C23" s="18" t="str">
        <x:v>prop design</x:v>
      </x:c>
      <x:c r="D23" s="18" t="str">
        <x:v>prop</x:v>
      </x:c>
      <x:c r="E23" s="32" t="n">
        <x:v>24</x:v>
      </x:c>
      <x:c r="F23" s="33" t="n">
        <x:v>120</x:v>
      </x:c>
      <x:c r="G23" s="33" t="n">
        <x:v>150</x:v>
      </x:c>
      <x:c r="H23" s="34" t="str">
        <x:v>one_time</x:v>
      </x:c>
      <x:c r="I23" s="33" t="n">
        <x:v>187.5</x:v>
      </x:c>
      <x:c r="J23" s="35" t="str">
        <x:v>Planning allowance; written quote needed</x:v>
      </x:c>
      <x:c r="K23" s="36" t="str">
        <x:v>ALLOW</x:v>
      </x:c>
      <x:c r="L23" s="37" t="n">
        <x:f>ROUND(E23*F23,2)</x:f>
        <x:v>2880</x:v>
      </x:c>
      <x:c r="M23" s="37" t="n">
        <x:f>ROUND(E23*G23,2)</x:f>
        <x:v>3600</x:v>
      </x:c>
      <x:c r="N23" s="37" t="n">
        <x:f>ROUND(E23*I23,2)</x:f>
        <x:v>4500</x:v>
      </x:c>
      <x:c r="O23" s="18" t="str">
        <x:v>Reusable prop library Low/high are -20%/+25% rate sensitivity, not observed market range.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48" customHeight="1">
      <x:c r="A24" s="1" t="str">
        <x:v>CNT-020</x:v>
      </x:c>
      <x:c r="B24" s="1" t="str">
        <x:v>Content production</x:v>
      </x:c>
      <x:c r="C24" s="18" t="str">
        <x:v>environment and location design</x:v>
      </x:c>
      <x:c r="D24" s="18" t="str">
        <x:v>environment</x:v>
      </x:c>
      <x:c r="E24" s="32" t="n">
        <x:v>8</x:v>
      </x:c>
      <x:c r="F24" s="33" t="n">
        <x:v>600</x:v>
      </x:c>
      <x:c r="G24" s="33" t="n">
        <x:v>750</x:v>
      </x:c>
      <x:c r="H24" s="34" t="str">
        <x:v>one_time</x:v>
      </x:c>
      <x:c r="I24" s="33" t="n">
        <x:v>937.5</x:v>
      </x:c>
      <x:c r="J24" s="35" t="str">
        <x:v>Planning allowance; written quote needed</x:v>
      </x:c>
      <x:c r="K24" s="36" t="str">
        <x:v>ALLOW</x:v>
      </x:c>
      <x:c r="L24" s="37" t="n">
        <x:f>ROUND(E24*F24,2)</x:f>
        <x:v>4800</x:v>
      </x:c>
      <x:c r="M24" s="37" t="n">
        <x:f>ROUND(E24*G24,2)</x:f>
        <x:v>6000</x:v>
      </x:c>
      <x:c r="N24" s="37" t="n">
        <x:f>ROUND(E24*I24,2)</x:f>
        <x:v>7500</x:v>
      </x:c>
      <x:c r="O24" s="18" t="str">
        <x:v>8 locations Low/high are -20%/+25% rate sensitivity, not observed market range.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48" customHeight="1">
      <x:c r="A25" s="1" t="str">
        <x:v>CNT-021</x:v>
      </x:c>
      <x:c r="B25" s="1" t="str">
        <x:v>Content production</x:v>
      </x:c>
      <x:c r="C25" s="18" t="str">
        <x:v>style bible and color specification</x:v>
      </x:c>
      <x:c r="D25" s="18" t="str">
        <x:v>hour</x:v>
      </x:c>
      <x:c r="E25" s="32" t="n">
        <x:v>40</x:v>
      </x:c>
      <x:c r="F25" s="33" t="n">
        <x:v>100</x:v>
      </x:c>
      <x:c r="G25" s="33" t="n">
        <x:v>125</x:v>
      </x:c>
      <x:c r="H25" s="34" t="str">
        <x:v>one_time</x:v>
      </x:c>
      <x:c r="I25" s="33" t="n">
        <x:v>156.25</x:v>
      </x:c>
      <x:c r="J25" s="35" t="str">
        <x:v>Planning allowance; written quote needed</x:v>
      </x:c>
      <x:c r="K25" s="36" t="str">
        <x:v>ALLOW</x:v>
      </x:c>
      <x:c r="L25" s="37" t="n">
        <x:f>ROUND(E25*F25,2)</x:f>
        <x:v>4000</x:v>
      </x:c>
      <x:c r="M25" s="37" t="n">
        <x:f>ROUND(E25*G25,2)</x:f>
        <x:v>5000</x:v>
      </x:c>
      <x:c r="N25" s="37" t="n">
        <x:f>ROUND(E25*I25,2)</x:f>
        <x:v>6250</x:v>
      </x:c>
      <x:c r="O25" s="18" t="str">
        <x:v>Style bible Low/high are -20%/+25% rate sensitivity, not observed market range.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48" customHeight="1">
      <x:c r="A26" s="1" t="str">
        <x:v>CNT-022</x:v>
      </x:c>
      <x:c r="B26" s="1" t="str">
        <x:v>Content production</x:v>
      </x:c>
      <x:c r="C26" s="18" t="str">
        <x:v>2D character rig</x:v>
      </x:c>
      <x:c r="D26" s="18" t="str">
        <x:v>rig</x:v>
      </x:c>
      <x:c r="E26" s="32" t="n">
        <x:v>21</x:v>
      </x:c>
      <x:c r="F26" s="33" t="n">
        <x:v>320</x:v>
      </x:c>
      <x:c r="G26" s="33" t="n">
        <x:v>400</x:v>
      </x:c>
      <x:c r="H26" s="34" t="str">
        <x:v>one_time</x:v>
      </x:c>
      <x:c r="I26" s="33" t="n">
        <x:v>500</x:v>
      </x:c>
      <x:c r="J26" s="35" t="str">
        <x:v>Planning allowance; written quote needed</x:v>
      </x:c>
      <x:c r="K26" s="36" t="str">
        <x:v>ALLOW</x:v>
      </x:c>
      <x:c r="L26" s="37" t="n">
        <x:f>ROUND(E26*F26,2)</x:f>
        <x:v>6720</x:v>
      </x:c>
      <x:c r="M26" s="37" t="n">
        <x:f>ROUND(E26*G26,2)</x:f>
        <x:v>8400</x:v>
      </x:c>
      <x:c r="N26" s="37" t="n">
        <x:f>ROUND(E26*I26,2)</x:f>
        <x:v>10500</x:v>
      </x:c>
      <x:c r="O26" s="18" t="str">
        <x:v>Animation Bakery CAD400 rig is a different currency; USD400 custom-rig allowance Low/high are -20%/+25% rate sensitivity, not observed market range.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48" customHeight="1">
      <x:c r="A27" s="1" t="str">
        <x:v>CNT-023</x:v>
      </x:c>
      <x:c r="B27" s="1" t="str">
        <x:v>Content production</x:v>
      </x:c>
      <x:c r="C27" s="18" t="str">
        <x:v>mouth and lip-sync rig setup</x:v>
      </x:c>
      <x:c r="D27" s="18" t="str">
        <x:v>rig</x:v>
      </x:c>
      <x:c r="E27" s="32" t="n">
        <x:v>4</x:v>
      </x:c>
      <x:c r="F27" s="33" t="n">
        <x:v>350</x:v>
      </x:c>
      <x:c r="G27" s="33" t="n">
        <x:v>350</x:v>
      </x:c>
      <x:c r="H27" s="34" t="str">
        <x:v>one_time</x:v>
      </x:c>
      <x:c r="I27" s="33" t="n">
        <x:v>350</x:v>
      </x:c>
      <x:c r="J27" s="35" t="str">
        <x:v>Published rate × assumed quantity</x:v>
      </x:c>
      <x:c r="K27" s="36" t="str">
        <x:v>RIVE</x:v>
      </x:c>
      <x:c r="L27" s="37" t="n">
        <x:f>ROUND(E27*F27,2)</x:f>
        <x:v>1400</x:v>
      </x:c>
      <x:c r="M27" s="37" t="n">
        <x:f>ROUND(E27*G27,2)</x:f>
        <x:v>1400</x:v>
      </x:c>
      <x:c r="N27" s="37" t="n">
        <x:f>ROUND(E27*I27,2)</x:f>
        <x:v>1400</x:v>
      </x:c>
      <x:c r="O27" s="18" t="str">
        <x:v>4 primary viseme rigs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48" customHeight="1">
      <x:c r="A28" s="1" t="str">
        <x:v>CNT-024</x:v>
      </x:c>
      <x:c r="B28" s="1" t="str">
        <x:v>Content production</x:v>
      </x:c>
      <x:c r="C28" s="18" t="str">
        <x:v>reusable motion cycles</x:v>
      </x:c>
      <x:c r="D28" s="18" t="str">
        <x:v>hour</x:v>
      </x:c>
      <x:c r="E28" s="32" t="n">
        <x:v>48</x:v>
      </x:c>
      <x:c r="F28" s="33" t="n">
        <x:v>80</x:v>
      </x:c>
      <x:c r="G28" s="33" t="n">
        <x:v>100</x:v>
      </x:c>
      <x:c r="H28" s="34" t="str">
        <x:v>one_time</x:v>
      </x:c>
      <x:c r="I28" s="33" t="n">
        <x:v>125</x:v>
      </x:c>
      <x:c r="J28" s="35" t="str">
        <x:v>Planning allowance; written quote needed</x:v>
      </x:c>
      <x:c r="K28" s="36" t="str">
        <x:v>ALLOW</x:v>
      </x:c>
      <x:c r="L28" s="37" t="n">
        <x:f>ROUND(E28*F28,2)</x:f>
        <x:v>3840</x:v>
      </x:c>
      <x:c r="M28" s="37" t="n">
        <x:f>ROUND(E28*G28,2)</x:f>
        <x:v>4800</x:v>
      </x:c>
      <x:c r="N28" s="37" t="n">
        <x:f>ROUND(E28*I28,2)</x:f>
        <x:v>6000</x:v>
      </x:c>
      <x:c r="O28" s="18" t="str">
        <x:v>Reusable motion cycles Low/high are -20%/+25% rate sensitivity, not observed market range.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48" customHeight="1">
      <x:c r="A29" s="1" t="str">
        <x:v>CNT-026</x:v>
      </x:c>
      <x:c r="B29" s="1" t="str">
        <x:v>Content production</x:v>
      </x:c>
      <x:c r="C29" s="18" t="str">
        <x:v>character animation</x:v>
      </x:c>
      <x:c r="D29" s="18" t="str">
        <x:v>finished minute</x:v>
      </x:c>
      <x:c r="E29" s="32" t="n">
        <x:v>84</x:v>
      </x:c>
      <x:c r="F29" s="33" t="n">
        <x:v>1168</x:v>
      </x:c>
      <x:c r="G29" s="33" t="n">
        <x:v>1460</x:v>
      </x:c>
      <x:c r="H29" s="34" t="str">
        <x:v>one_time</x:v>
      </x:c>
      <x:c r="I29" s="33" t="n">
        <x:v>1971.0000000000002</x:v>
      </x:c>
      <x:c r="J29" s="35" t="str">
        <x:v>Published CAD rate; assumed FX and production scope</x:v>
      </x:c>
      <x:c r="K29" s="36" t="str">
        <x:v>ANIM</x:v>
      </x:c>
      <x:c r="L29" s="37" t="n">
        <x:f>ROUND(E29*F29,2)</x:f>
        <x:v>98112</x:v>
      </x:c>
      <x:c r="M29" s="37" t="n">
        <x:f>ROUND(E29*G29,2)</x:f>
        <x:v>122640</x:v>
      </x:c>
      <x:c r="N29" s="37" t="n">
        <x:f>ROUND(E29*I29,2)</x:f>
        <x:v>165564</x:v>
      </x:c>
      <x:c r="O29" s="18" t="str">
        <x:v>CAD2,000 × .73 USD/CAD. Assumes layout/backgrounds/composite and one revision included; quote must confirm. Animation-only, not full finished episode.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48" customHeight="1">
      <x:c r="A30" s="1" t="str">
        <x:v>CNT-031</x:v>
      </x:c>
      <x:c r="B30" s="1" t="str">
        <x:v>Content production</x:v>
      </x:c>
      <x:c r="C30" s="18" t="str">
        <x:v>English casting</x:v>
      </x:c>
      <x:c r="D30" s="18" t="str">
        <x:v>hour</x:v>
      </x:c>
      <x:c r="E30" s="32" t="n">
        <x:v>16</x:v>
      </x:c>
      <x:c r="F30" s="33" t="n">
        <x:v>60</x:v>
      </x:c>
      <x:c r="G30" s="33" t="n">
        <x:v>75</x:v>
      </x:c>
      <x:c r="H30" s="34" t="str">
        <x:v>one_time</x:v>
      </x:c>
      <x:c r="I30" s="33" t="n">
        <x:v>93.75</x:v>
      </x:c>
      <x:c r="J30" s="35" t="str">
        <x:v>Planning allowance; written quote needed</x:v>
      </x:c>
      <x:c r="K30" s="36" t="str">
        <x:v>ALLOW</x:v>
      </x:c>
      <x:c r="L30" s="37" t="n">
        <x:f>ROUND(E30*F30,2)</x:f>
        <x:v>960</x:v>
      </x:c>
      <x:c r="M30" s="37" t="n">
        <x:f>ROUND(E30*G30,2)</x:f>
        <x:v>1200</x:v>
      </x:c>
      <x:c r="N30" s="37" t="n">
        <x:f>ROUND(E30*I30,2)</x:f>
        <x:v>1500</x:v>
      </x:c>
      <x:c r="O30" s="18" t="str">
        <x:v>Casting coordination Low/high are -20%/+25% rate sensitivity, not observed market range.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48" customHeight="1">
      <x:c r="A31" s="1" t="str">
        <x:v>CNT-032</x:v>
      </x:c>
      <x:c r="B31" s="1" t="str">
        <x:v>Content production</x:v>
      </x:c>
      <x:c r="C31" s="18" t="str">
        <x:v>English recording</x:v>
      </x:c>
      <x:c r="D31" s="18" t="str">
        <x:v>studio/talent hour</x:v>
      </x:c>
      <x:c r="E31" s="32" t="n">
        <x:v>48</x:v>
      </x:c>
      <x:c r="F31" s="33" t="n">
        <x:v>160</x:v>
      </x:c>
      <x:c r="G31" s="33" t="n">
        <x:v>200</x:v>
      </x:c>
      <x:c r="H31" s="34" t="str">
        <x:v>one_time</x:v>
      </x:c>
      <x:c r="I31" s="33" t="n">
        <x:v>250</x:v>
      </x:c>
      <x:c r="J31" s="35" t="str">
        <x:v>Planning allowance; written quote needed</x:v>
      </x:c>
      <x:c r="K31" s="36" t="str">
        <x:v>ALLOW</x:v>
      </x:c>
      <x:c r="L31" s="37" t="n">
        <x:f>ROUND(E31*F31,2)</x:f>
        <x:v>7680</x:v>
      </x:c>
      <x:c r="M31" s="37" t="n">
        <x:f>ROUND(E31*G31,2)</x:f>
        <x:v>9600</x:v>
      </x:c>
      <x:c r="N31" s="37" t="n">
        <x:f>ROUND(E31*I31,2)</x:f>
        <x:v>12000</x:v>
      </x:c>
      <x:c r="O31" s="18" t="str">
        <x:v>English recording sessions including studio allowance Low/high are -20%/+25% rate sensitivity, not observed market range.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48" customHeight="1">
      <x:c r="A32" s="1" t="str">
        <x:v>CNT-033</x:v>
      </x:c>
      <x:c r="B32" s="1" t="str">
        <x:v>Content production</x:v>
      </x:c>
      <x:c r="C32" s="18" t="str">
        <x:v>voice direction</x:v>
      </x:c>
      <x:c r="D32" s="18" t="str">
        <x:v>hour</x:v>
      </x:c>
      <x:c r="E32" s="32" t="n">
        <x:v>24</x:v>
      </x:c>
      <x:c r="F32" s="33" t="n">
        <x:v>100</x:v>
      </x:c>
      <x:c r="G32" s="33" t="n">
        <x:v>125</x:v>
      </x:c>
      <x:c r="H32" s="34" t="str">
        <x:v>one_time</x:v>
      </x:c>
      <x:c r="I32" s="33" t="n">
        <x:v>156.25</x:v>
      </x:c>
      <x:c r="J32" s="35" t="str">
        <x:v>Planning allowance; written quote needed</x:v>
      </x:c>
      <x:c r="K32" s="36" t="str">
        <x:v>ALLOW</x:v>
      </x:c>
      <x:c r="L32" s="37" t="n">
        <x:f>ROUND(E32*F32,2)</x:f>
        <x:v>2400</x:v>
      </x:c>
      <x:c r="M32" s="37" t="n">
        <x:f>ROUND(E32*G32,2)</x:f>
        <x:v>3000</x:v>
      </x:c>
      <x:c r="N32" s="37" t="n">
        <x:f>ROUND(E32*I32,2)</x:f>
        <x:v>3750</x:v>
      </x:c>
      <x:c r="O32" s="18" t="str">
        <x:v>Voice direction Low/high are -20%/+25% rate sensitivity, not observed market range.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48" customHeight="1">
      <x:c r="A33" s="1" t="str">
        <x:v>CNT-034</x:v>
      </x:c>
      <x:c r="B33" s="1" t="str">
        <x:v>Content production</x:v>
      </x:c>
      <x:c r="C33" s="18" t="str">
        <x:v>pickup and retake sessions</x:v>
      </x:c>
      <x:c r="D33" s="18" t="str">
        <x:v>hour</x:v>
      </x:c>
      <x:c r="E33" s="32" t="n">
        <x:v>12</x:v>
      </x:c>
      <x:c r="F33" s="33" t="n">
        <x:v>160</x:v>
      </x:c>
      <x:c r="G33" s="33" t="n">
        <x:v>200</x:v>
      </x:c>
      <x:c r="H33" s="34" t="str">
        <x:v>one_time</x:v>
      </x:c>
      <x:c r="I33" s="33" t="n">
        <x:v>250</x:v>
      </x:c>
      <x:c r="J33" s="35" t="str">
        <x:v>Planning allowance; written quote needed</x:v>
      </x:c>
      <x:c r="K33" s="36" t="str">
        <x:v>ALLOW</x:v>
      </x:c>
      <x:c r="L33" s="37" t="n">
        <x:f>ROUND(E33*F33,2)</x:f>
        <x:v>1920</x:v>
      </x:c>
      <x:c r="M33" s="37" t="n">
        <x:f>ROUND(E33*G33,2)</x:f>
        <x:v>2400</x:v>
      </x:c>
      <x:c r="N33" s="37" t="n">
        <x:f>ROUND(E33*I33,2)</x:f>
        <x:v>3000</x:v>
      </x:c>
      <x:c r="O33" s="18" t="str">
        <x:v>Pickups Low/high are -20%/+25% rate sensitivity, not observed market range.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48" customHeight="1">
      <x:c r="A34" s="1" t="str">
        <x:v>CNT-035</x:v>
      </x:c>
      <x:c r="B34" s="1" t="str">
        <x:v>Content production</x:v>
      </x:c>
      <x:c r="C34" s="18" t="str">
        <x:v>Spanish script adaptation</x:v>
      </x:c>
      <x:c r="D34" s="18" t="str">
        <x:v>source word</x:v>
      </x:c>
      <x:c r="E34" s="32" t="n">
        <x:v>18000</x:v>
      </x:c>
      <x:c r="F34" s="33" t="n">
        <x:v>0.144</x:v>
      </x:c>
      <x:c r="G34" s="33" t="n">
        <x:v>0.18</x:v>
      </x:c>
      <x:c r="H34" s="34" t="str">
        <x:v>one_time</x:v>
      </x:c>
      <x:c r="I34" s="33" t="n">
        <x:v>0.225</x:v>
      </x:c>
      <x:c r="J34" s="35" t="str">
        <x:v>Planning allowance; written quote needed</x:v>
      </x:c>
      <x:c r="K34" s="36" t="str">
        <x:v>ALLOW</x:v>
      </x:c>
      <x:c r="L34" s="37" t="n">
        <x:f>ROUND(E34*F34,2)</x:f>
        <x:v>2592</x:v>
      </x:c>
      <x:c r="M34" s="37" t="n">
        <x:f>ROUND(E34*G34,2)</x:f>
        <x:v>3240</x:v>
      </x:c>
      <x:c r="N34" s="37" t="n">
        <x:f>ROUND(E34*I34,2)</x:f>
        <x:v>4050</x:v>
      </x:c>
      <x:c r="O34" s="18" t="str">
        <x:v>Spanish adaptation, not machine translation Low/high are -20%/+25% rate sensitivity, not observed market range.</x:v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48" customHeight="1">
      <x:c r="A35" s="1" t="str">
        <x:v>CNT-036</x:v>
      </x:c>
      <x:c r="B35" s="1" t="str">
        <x:v>Content production</x:v>
      </x:c>
      <x:c r="C35" s="18" t="str">
        <x:v>Spanish voice casting and recording</x:v>
      </x:c>
      <x:c r="D35" s="18" t="str">
        <x:v>finished minute</x:v>
      </x:c>
      <x:c r="E35" s="32" t="n">
        <x:v>84</x:v>
      </x:c>
      <x:c r="F35" s="33" t="n">
        <x:v>75</x:v>
      </x:c>
      <x:c r="G35" s="33" t="n">
        <x:v>75</x:v>
      </x:c>
      <x:c r="H35" s="34" t="str">
        <x:v>one_time</x:v>
      </x:c>
      <x:c r="I35" s="33" t="n">
        <x:v>75</x:v>
      </x:c>
      <x:c r="J35" s="35" t="str">
        <x:v>Published rate × assumed quantity</x:v>
      </x:c>
      <x:c r="K35" s="36" t="str">
        <x:v>DUB</x:v>
      </x:c>
      <x:c r="L35" s="37" t="n">
        <x:f>ROUND(E35*F35,2)</x:f>
        <x:v>6300</x:v>
      </x:c>
      <x:c r="M35" s="37" t="n">
        <x:f>ROUND(E35*G35,2)</x:f>
        <x:v>6300</x:v>
      </x:c>
      <x:c r="N35" s="37" t="n">
        <x:f>ROUND(E35*I35,2)</x:f>
        <x:v>6300</x:v>
      </x:c>
      <x:c r="O35" s="18" t="str">
        <x:v>Spanish recording package; voice rights separate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48" customHeight="1">
      <x:c r="A36" s="1" t="str">
        <x:v>CNT-037</x:v>
      </x:c>
      <x:c r="B36" s="1" t="str">
        <x:v>Content production</x:v>
      </x:c>
      <x:c r="C36" s="18" t="str">
        <x:v>Spanish lip-sync and edit</x:v>
      </x:c>
      <x:c r="D36" s="18" t="str">
        <x:v>hour</x:v>
      </x:c>
      <x:c r="E36" s="32" t="n">
        <x:v>42</x:v>
      </x:c>
      <x:c r="F36" s="33" t="n">
        <x:v>80</x:v>
      </x:c>
      <x:c r="G36" s="33" t="n">
        <x:v>100</x:v>
      </x:c>
      <x:c r="H36" s="34" t="str">
        <x:v>one_time</x:v>
      </x:c>
      <x:c r="I36" s="33" t="n">
        <x:v>125</x:v>
      </x:c>
      <x:c r="J36" s="35" t="str">
        <x:v>Planning allowance; written quote needed</x:v>
      </x:c>
      <x:c r="K36" s="36" t="str">
        <x:v>ALLOW</x:v>
      </x:c>
      <x:c r="L36" s="37" t="n">
        <x:f>ROUND(E36*F36,2)</x:f>
        <x:v>3360</x:v>
      </x:c>
      <x:c r="M36" s="37" t="n">
        <x:f>ROUND(E36*G36,2)</x:f>
        <x:v>4200</x:v>
      </x:c>
      <x:c r="N36" s="37" t="n">
        <x:f>ROUND(E36*I36,2)</x:f>
        <x:v>5250</x:v>
      </x:c>
      <x:c r="O36" s="18" t="str">
        <x:v>Spanish lip-sync/edit Low/high are -20%/+25% rate sensitivity, not observed market range.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48" customHeight="1">
      <x:c r="A37" s="1" t="str">
        <x:v>CNT-038</x:v>
      </x:c>
      <x:c r="B37" s="1" t="str">
        <x:v>Content production</x:v>
      </x:c>
      <x:c r="C37" s="18" t="str">
        <x:v>English captions</x:v>
      </x:c>
      <x:c r="D37" s="18" t="str">
        <x:v>finished minute</x:v>
      </x:c>
      <x:c r="E37" s="32" t="n">
        <x:v>84</x:v>
      </x:c>
      <x:c r="F37" s="33" t="n">
        <x:v>12</x:v>
      </x:c>
      <x:c r="G37" s="33" t="n">
        <x:v>15</x:v>
      </x:c>
      <x:c r="H37" s="34" t="str">
        <x:v>one_time</x:v>
      </x:c>
      <x:c r="I37" s="33" t="n">
        <x:v>18.75</x:v>
      </x:c>
      <x:c r="J37" s="35" t="str">
        <x:v>Planning allowance; written quote needed</x:v>
      </x:c>
      <x:c r="K37" s="36" t="str">
        <x:v>ALLOW</x:v>
      </x:c>
      <x:c r="L37" s="37" t="n">
        <x:f>ROUND(E37*F37,2)</x:f>
        <x:v>1008</x:v>
      </x:c>
      <x:c r="M37" s="37" t="n">
        <x:f>ROUND(E37*G37,2)</x:f>
        <x:v>1260</x:v>
      </x:c>
      <x:c r="N37" s="37" t="n">
        <x:f>ROUND(E37*I37,2)</x:f>
        <x:v>1575</x:v>
      </x:c>
      <x:c r="O37" s="18" t="str">
        <x:v>EN captions human checked Low/high are -20%/+25% rate sensitivity, not observed market range.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48" customHeight="1">
      <x:c r="A38" s="1" t="str">
        <x:v>CNT-039</x:v>
      </x:c>
      <x:c r="B38" s="1" t="str">
        <x:v>Content production</x:v>
      </x:c>
      <x:c r="C38" s="18" t="str">
        <x:v>Spanish captions</x:v>
      </x:c>
      <x:c r="D38" s="18" t="str">
        <x:v>finished minute</x:v>
      </x:c>
      <x:c r="E38" s="32" t="n">
        <x:v>84</x:v>
      </x:c>
      <x:c r="F38" s="33" t="n">
        <x:v>14.4</x:v>
      </x:c>
      <x:c r="G38" s="33" t="n">
        <x:v>18</x:v>
      </x:c>
      <x:c r="H38" s="34" t="str">
        <x:v>one_time</x:v>
      </x:c>
      <x:c r="I38" s="33" t="n">
        <x:v>22.5</x:v>
      </x:c>
      <x:c r="J38" s="35" t="str">
        <x:v>Planning allowance; written quote needed</x:v>
      </x:c>
      <x:c r="K38" s="36" t="str">
        <x:v>ALLOW</x:v>
      </x:c>
      <x:c r="L38" s="37" t="n">
        <x:f>ROUND(E38*F38,2)</x:f>
        <x:v>1209.6</x:v>
      </x:c>
      <x:c r="M38" s="37" t="n">
        <x:f>ROUND(E38*G38,2)</x:f>
        <x:v>1512</x:v>
      </x:c>
      <x:c r="N38" s="37" t="n">
        <x:f>ROUND(E38*I38,2)</x:f>
        <x:v>1890</x:v>
      </x:c>
      <x:c r="O38" s="18" t="str">
        <x:v>ES captions Low/high are -20%/+25% rate sensitivity, not observed market range.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48" customHeight="1">
      <x:c r="A39" s="1" t="str">
        <x:v>CNT-040</x:v>
      </x:c>
      <x:c r="B39" s="1" t="str">
        <x:v>Content production</x:v>
      </x:c>
      <x:c r="C39" s="18" t="str">
        <x:v>audio description assessment</x:v>
      </x:c>
      <x:c r="D39" s="18" t="str">
        <x:v>hour</x:v>
      </x:c>
      <x:c r="E39" s="32" t="n">
        <x:v>16</x:v>
      </x:c>
      <x:c r="F39" s="33" t="n">
        <x:v>100</x:v>
      </x:c>
      <x:c r="G39" s="33" t="n">
        <x:v>125</x:v>
      </x:c>
      <x:c r="H39" s="34" t="str">
        <x:v>one_time</x:v>
      </x:c>
      <x:c r="I39" s="33" t="n">
        <x:v>156.25</x:v>
      </x:c>
      <x:c r="J39" s="35" t="str">
        <x:v>Planning allowance; written quote needed</x:v>
      </x:c>
      <x:c r="K39" s="36" t="str">
        <x:v>ALLOW</x:v>
      </x:c>
      <x:c r="L39" s="37" t="n">
        <x:f>ROUND(E39*F39,2)</x:f>
        <x:v>1600</x:v>
      </x:c>
      <x:c r="M39" s="37" t="n">
        <x:f>ROUND(E39*G39,2)</x:f>
        <x:v>2000</x:v>
      </x:c>
      <x:c r="N39" s="37" t="n">
        <x:f>ROUND(E39*I39,2)</x:f>
        <x:v>2500</x:v>
      </x:c>
      <x:c r="O39" s="18" t="str">
        <x:v>Description/accessibility assessment Low/high are -20%/+25% rate sensitivity, not observed market range.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48" customHeight="1">
      <x:c r="A40" s="1" t="str">
        <x:v>CNT-041</x:v>
      </x:c>
      <x:c r="B40" s="1" t="str">
        <x:v>Content production</x:v>
      </x:c>
      <x:c r="C40" s="18" t="str">
        <x:v>dialogue edit and cleanup</x:v>
      </x:c>
      <x:c r="D40" s="18" t="str">
        <x:v>hour</x:v>
      </x:c>
      <x:c r="E40" s="32" t="n">
        <x:v>48</x:v>
      </x:c>
      <x:c r="F40" s="33" t="n">
        <x:v>72</x:v>
      </x:c>
      <x:c r="G40" s="33" t="n">
        <x:v>90</x:v>
      </x:c>
      <x:c r="H40" s="34" t="str">
        <x:v>one_time</x:v>
      </x:c>
      <x:c r="I40" s="33" t="n">
        <x:v>112.5</x:v>
      </x:c>
      <x:c r="J40" s="35" t="str">
        <x:v>Planning allowance; written quote needed</x:v>
      </x:c>
      <x:c r="K40" s="36" t="str">
        <x:v>ALLOW</x:v>
      </x:c>
      <x:c r="L40" s="37" t="n">
        <x:f>ROUND(E40*F40,2)</x:f>
        <x:v>3456</x:v>
      </x:c>
      <x:c r="M40" s="37" t="n">
        <x:f>ROUND(E40*G40,2)</x:f>
        <x:v>4320</x:v>
      </x:c>
      <x:c r="N40" s="37" t="n">
        <x:f>ROUND(E40*I40,2)</x:f>
        <x:v>5400</x:v>
      </x:c>
      <x:c r="O40" s="18" t="str">
        <x:v>Dialogue cleanup Low/high are -20%/+25% rate sensitivity, not observed market range.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48" customHeight="1">
      <x:c r="A41" s="1" t="str">
        <x:v>CNT-042</x:v>
      </x:c>
      <x:c r="B41" s="1" t="str">
        <x:v>Content production</x:v>
      </x:c>
      <x:c r="C41" s="18" t="str">
        <x:v>original music composition</x:v>
      </x:c>
      <x:c r="D41" s="18" t="str">
        <x:v>cue</x:v>
      </x:c>
      <x:c r="E41" s="32" t="n">
        <x:v>12</x:v>
      </x:c>
      <x:c r="F41" s="33" t="n">
        <x:v>800</x:v>
      </x:c>
      <x:c r="G41" s="33" t="n">
        <x:v>1000</x:v>
      </x:c>
      <x:c r="H41" s="34" t="str">
        <x:v>one_time</x:v>
      </x:c>
      <x:c r="I41" s="33" t="n">
        <x:v>1250</x:v>
      </x:c>
      <x:c r="J41" s="35" t="str">
        <x:v>Planning allowance; written quote needed</x:v>
      </x:c>
      <x:c r="K41" s="36" t="str">
        <x:v>ALLOW</x:v>
      </x:c>
      <x:c r="L41" s="37" t="n">
        <x:f>ROUND(E41*F41,2)</x:f>
        <x:v>9600</x:v>
      </x:c>
      <x:c r="M41" s="37" t="n">
        <x:f>ROUND(E41*G41,2)</x:f>
        <x:v>12000</x:v>
      </x:c>
      <x:c r="N41" s="37" t="n">
        <x:f>ROUND(E41*I41,2)</x:f>
        <x:v>15000</x:v>
      </x:c>
      <x:c r="O41" s="18" t="str">
        <x:v>Original score, usage rights contract Low/high are -20%/+25% rate sensitivity, not observed market range.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48" customHeight="1">
      <x:c r="A42" s="1" t="str">
        <x:v>CNT-043</x:v>
      </x:c>
      <x:c r="B42" s="1" t="str">
        <x:v>Content production</x:v>
      </x:c>
      <x:c r="C42" s="18" t="str">
        <x:v>sound effects and Foley</x:v>
      </x:c>
      <x:c r="D42" s="18" t="str">
        <x:v>hour</x:v>
      </x:c>
      <x:c r="E42" s="32" t="n">
        <x:v>48</x:v>
      </x:c>
      <x:c r="F42" s="33" t="n">
        <x:v>72</x:v>
      </x:c>
      <x:c r="G42" s="33" t="n">
        <x:v>90</x:v>
      </x:c>
      <x:c r="H42" s="34" t="str">
        <x:v>one_time</x:v>
      </x:c>
      <x:c r="I42" s="33" t="n">
        <x:v>112.5</x:v>
      </x:c>
      <x:c r="J42" s="35" t="str">
        <x:v>Planning allowance; written quote needed</x:v>
      </x:c>
      <x:c r="K42" s="36" t="str">
        <x:v>ALLOW</x:v>
      </x:c>
      <x:c r="L42" s="37" t="n">
        <x:f>ROUND(E42*F42,2)</x:f>
        <x:v>3456</x:v>
      </x:c>
      <x:c r="M42" s="37" t="n">
        <x:f>ROUND(E42*G42,2)</x:f>
        <x:v>4320</x:v>
      </x:c>
      <x:c r="N42" s="37" t="n">
        <x:f>ROUND(E42*I42,2)</x:f>
        <x:v>5400</x:v>
      </x:c>
      <x:c r="O42" s="18" t="str">
        <x:v>Foley Low/high are -20%/+25% rate sensitivity, not observed market range.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48" customHeight="1">
      <x:c r="A43" s="1" t="str">
        <x:v>CNT-044</x:v>
      </x:c>
      <x:c r="B43" s="1" t="str">
        <x:v>Content production</x:v>
      </x:c>
      <x:c r="C43" s="18" t="str">
        <x:v>final mix and stems</x:v>
      </x:c>
      <x:c r="D43" s="18" t="str">
        <x:v>hour</x:v>
      </x:c>
      <x:c r="E43" s="32" t="n">
        <x:v>60</x:v>
      </x:c>
      <x:c r="F43" s="33" t="n">
        <x:v>100</x:v>
      </x:c>
      <x:c r="G43" s="33" t="n">
        <x:v>125</x:v>
      </x:c>
      <x:c r="H43" s="34" t="str">
        <x:v>one_time</x:v>
      </x:c>
      <x:c r="I43" s="33" t="n">
        <x:v>156.25</x:v>
      </x:c>
      <x:c r="J43" s="35" t="str">
        <x:v>Planning allowance; written quote needed</x:v>
      </x:c>
      <x:c r="K43" s="36" t="str">
        <x:v>ALLOW</x:v>
      </x:c>
      <x:c r="L43" s="37" t="n">
        <x:f>ROUND(E43*F43,2)</x:f>
        <x:v>6000</x:v>
      </x:c>
      <x:c r="M43" s="37" t="n">
        <x:f>ROUND(E43*G43,2)</x:f>
        <x:v>7500</x:v>
      </x:c>
      <x:c r="N43" s="37" t="n">
        <x:f>ROUND(E43*I43,2)</x:f>
        <x:v>9375</x:v>
      </x:c>
      <x:c r="O43" s="18" t="str">
        <x:v>Final mix/stems Low/high are -20%/+25% rate sensitivity, not observed market range.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48" customHeight="1">
      <x:c r="A44" s="1" t="str">
        <x:v>CNT-045</x:v>
      </x:c>
      <x:c r="B44" s="1" t="str">
        <x:v>Content production</x:v>
      </x:c>
      <x:c r="C44" s="18" t="str">
        <x:v>classroom activity plan</x:v>
      </x:c>
      <x:c r="D44" s="18" t="str">
        <x:v>hour</x:v>
      </x:c>
      <x:c r="E44" s="32" t="n">
        <x:v>96</x:v>
      </x:c>
      <x:c r="F44" s="33" t="n">
        <x:v>125</x:v>
      </x:c>
      <x:c r="G44" s="33" t="n">
        <x:v>125</x:v>
      </x:c>
      <x:c r="H44" s="34" t="str">
        <x:v>one_time</x:v>
      </x:c>
      <x:c r="I44" s="33" t="n">
        <x:v>125</x:v>
      </x:c>
      <x:c r="J44" s="35" t="str">
        <x:v>Published rate × assumed quantity</x:v>
      </x:c>
      <x:c r="K44" s="36" t="str">
        <x:v>ED</x:v>
      </x:c>
      <x:c r="L44" s="37" t="n">
        <x:f>ROUND(E44*F44,2)</x:f>
        <x:v>12000</x:v>
      </x:c>
      <x:c r="M44" s="37" t="n">
        <x:f>ROUND(E44*G44,2)</x:f>
        <x:v>12000</x:v>
      </x:c>
      <x:c r="N44" s="37" t="n">
        <x:f>ROUND(E44*I44,2)</x:f>
        <x:v>12000</x:v>
      </x:c>
      <x:c r="O44" s="18" t="str">
        <x:v>48 activities at 2h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48" customHeight="1">
      <x:c r="A45" s="1" t="str">
        <x:v>CNT-046</x:v>
      </x:c>
      <x:c r="B45" s="1" t="str">
        <x:v>Content production</x:v>
      </x:c>
      <x:c r="C45" s="18" t="str">
        <x:v>movement plan</x:v>
      </x:c>
      <x:c r="D45" s="18" t="str">
        <x:v>hour</x:v>
      </x:c>
      <x:c r="E45" s="32" t="n">
        <x:v>24</x:v>
      </x:c>
      <x:c r="F45" s="33" t="n">
        <x:v>125</x:v>
      </x:c>
      <x:c r="G45" s="33" t="n">
        <x:v>125</x:v>
      </x:c>
      <x:c r="H45" s="34" t="str">
        <x:v>one_time</x:v>
      </x:c>
      <x:c r="I45" s="33" t="n">
        <x:v>125</x:v>
      </x:c>
      <x:c r="J45" s="35" t="str">
        <x:v>Published rate × assumed quantity</x:v>
      </x:c>
      <x:c r="K45" s="36" t="str">
        <x:v>ED</x:v>
      </x:c>
      <x:c r="L45" s="37" t="n">
        <x:f>ROUND(E45*F45,2)</x:f>
        <x:v>3000</x:v>
      </x:c>
      <x:c r="M45" s="37" t="n">
        <x:f>ROUND(E45*G45,2)</x:f>
        <x:v>3000</x:v>
      </x:c>
      <x:c r="N45" s="37" t="n">
        <x:f>ROUND(E45*I45,2)</x:f>
        <x:v>3000</x:v>
      </x:c>
      <x:c r="O45" s="18" t="str">
        <x:v>12 movement guides</x:v>
      </x:c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48" customHeight="1">
      <x:c r="A46" s="1" t="str">
        <x:v>CNT-047</x:v>
      </x:c>
      <x:c r="B46" s="1" t="str">
        <x:v>Content production</x:v>
      </x:c>
      <x:c r="C46" s="18" t="str">
        <x:v>Eat the Rainbow menu linkage</x:v>
      </x:c>
      <x:c r="D46" s="18" t="str">
        <x:v>hour</x:v>
      </x:c>
      <x:c r="E46" s="32" t="n">
        <x:v>24</x:v>
      </x:c>
      <x:c r="F46" s="33" t="n">
        <x:v>125</x:v>
      </x:c>
      <x:c r="G46" s="33" t="n">
        <x:v>125</x:v>
      </x:c>
      <x:c r="H46" s="34" t="str">
        <x:v>one_time</x:v>
      </x:c>
      <x:c r="I46" s="33" t="n">
        <x:v>125</x:v>
      </x:c>
      <x:c r="J46" s="35" t="str">
        <x:v>Published rate × assumed quantity</x:v>
      </x:c>
      <x:c r="K46" s="36" t="str">
        <x:v>ED</x:v>
      </x:c>
      <x:c r="L46" s="37" t="n">
        <x:f>ROUND(E46*F46,2)</x:f>
        <x:v>3000</x:v>
      </x:c>
      <x:c r="M46" s="37" t="n">
        <x:f>ROUND(E46*G46,2)</x:f>
        <x:v>3000</x:v>
      </x:c>
      <x:c r="N46" s="37" t="n">
        <x:f>ROUND(E46*I46,2)</x:f>
        <x:v>3000</x:v>
      </x:c>
      <x:c r="O46" s="18" t="str">
        <x:v>Menu-linked learning, nurse separate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48" customHeight="1">
      <x:c r="A47" s="1" t="str">
        <x:v>CNT-048</x:v>
      </x:c>
      <x:c r="B47" s="1" t="str">
        <x:v>Content production</x:v>
      </x:c>
      <x:c r="C47" s="18" t="str">
        <x:v>learning activity materials list</x:v>
      </x:c>
      <x:c r="D47" s="18" t="str">
        <x:v>hour</x:v>
      </x:c>
      <x:c r="E47" s="32" t="n">
        <x:v>24</x:v>
      </x:c>
      <x:c r="F47" s="33" t="n">
        <x:v>60</x:v>
      </x:c>
      <x:c r="G47" s="33" t="n">
        <x:v>75</x:v>
      </x:c>
      <x:c r="H47" s="34" t="str">
        <x:v>one_time</x:v>
      </x:c>
      <x:c r="I47" s="33" t="n">
        <x:v>93.75</x:v>
      </x:c>
      <x:c r="J47" s="35" t="str">
        <x:v>Planning allowance; written quote needed</x:v>
      </x:c>
      <x:c r="K47" s="36" t="str">
        <x:v>ALLOW</x:v>
      </x:c>
      <x:c r="L47" s="37" t="n">
        <x:f>ROUND(E47*F47,2)</x:f>
        <x:v>1440</x:v>
      </x:c>
      <x:c r="M47" s="37" t="n">
        <x:f>ROUND(E47*G47,2)</x:f>
        <x:v>1800</x:v>
      </x:c>
      <x:c r="N47" s="37" t="n">
        <x:f>ROUND(E47*I47,2)</x:f>
        <x:v>2250</x:v>
      </x:c>
      <x:c r="O47" s="18" t="str">
        <x:v>Materials lists Low/high are -20%/+25% rate sensitivity, not observed market range.</x:v>
      </x:c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48" customHeight="1">
      <x:c r="A48" s="1" t="str">
        <x:v>CNT-049</x:v>
      </x:c>
      <x:c r="B48" s="1" t="str">
        <x:v>Content production</x:v>
      </x:c>
      <x:c r="C48" s="18" t="str">
        <x:v>assessment rubric and observation prompts</x:v>
      </x:c>
      <x:c r="D48" s="18" t="str">
        <x:v>hour</x:v>
      </x:c>
      <x:c r="E48" s="32" t="n">
        <x:v>40</x:v>
      </x:c>
      <x:c r="F48" s="33" t="n">
        <x:v>125</x:v>
      </x:c>
      <x:c r="G48" s="33" t="n">
        <x:v>125</x:v>
      </x:c>
      <x:c r="H48" s="34" t="str">
        <x:v>one_time</x:v>
      </x:c>
      <x:c r="I48" s="33" t="n">
        <x:v>125</x:v>
      </x:c>
      <x:c r="J48" s="35" t="str">
        <x:v>Published rate × assumed quantity</x:v>
      </x:c>
      <x:c r="K48" s="36" t="str">
        <x:v>ED</x:v>
      </x:c>
      <x:c r="L48" s="37" t="n">
        <x:f>ROUND(E48*F48,2)</x:f>
        <x:v>5000</x:v>
      </x:c>
      <x:c r="M48" s="37" t="n">
        <x:f>ROUND(E48*G48,2)</x:f>
        <x:v>5000</x:v>
      </x:c>
      <x:c r="N48" s="37" t="n">
        <x:f>ROUND(E48*I48,2)</x:f>
        <x:v>5000</x:v>
      </x:c>
      <x:c r="O48" s="18" t="str">
        <x:v>Observation rubric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48" customHeight="1">
      <x:c r="A49" s="1" t="str">
        <x:v>CNT-050</x:v>
      </x:c>
      <x:c r="B49" s="1" t="str">
        <x:v>Content production</x:v>
      </x:c>
      <x:c r="C49" s="18" t="str">
        <x:v>educator review and revisions</x:v>
      </x:c>
      <x:c r="D49" s="18" t="str">
        <x:v>hour</x:v>
      </x:c>
      <x:c r="E49" s="32" t="n">
        <x:v>80</x:v>
      </x:c>
      <x:c r="F49" s="33" t="n">
        <x:v>125</x:v>
      </x:c>
      <x:c r="G49" s="33" t="n">
        <x:v>125</x:v>
      </x:c>
      <x:c r="H49" s="34" t="str">
        <x:v>one_time</x:v>
      </x:c>
      <x:c r="I49" s="33" t="n">
        <x:v>125</x:v>
      </x:c>
      <x:c r="J49" s="35" t="str">
        <x:v>Published rate × assumed quantity</x:v>
      </x:c>
      <x:c r="K49" s="36" t="str">
        <x:v>ED</x:v>
      </x:c>
      <x:c r="L49" s="37" t="n">
        <x:f>ROUND(E49*F49,2)</x:f>
        <x:v>10000</x:v>
      </x:c>
      <x:c r="M49" s="37" t="n">
        <x:f>ROUND(E49*G49,2)</x:f>
        <x:v>10000</x:v>
      </x:c>
      <x:c r="N49" s="37" t="n">
        <x:f>ROUND(E49*I49,2)</x:f>
        <x:v>10000</x:v>
      </x:c>
      <x:c r="O49" s="18" t="str">
        <x:v>Independent curriculum review</x:v>
      </x:c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48" customHeight="1">
      <x:c r="A50" s="1" t="str">
        <x:v>CNT-051</x:v>
      </x:c>
      <x:c r="B50" s="1" t="str">
        <x:v>Content production</x:v>
      </x:c>
      <x:c r="C50" s="18" t="str">
        <x:v>health and nutrition review</x:v>
      </x:c>
      <x:c r="D50" s="18" t="str">
        <x:v>hour</x:v>
      </x:c>
      <x:c r="E50" s="32" t="n">
        <x:v>40</x:v>
      </x:c>
      <x:c r="F50" s="33" t="n">
        <x:v>140</x:v>
      </x:c>
      <x:c r="G50" s="33" t="n">
        <x:v>175</x:v>
      </x:c>
      <x:c r="H50" s="34" t="str">
        <x:v>one_time</x:v>
      </x:c>
      <x:c r="I50" s="33" t="n">
        <x:v>218.75</x:v>
      </x:c>
      <x:c r="J50" s="35" t="str">
        <x:v>Planning allowance; written quote needed</x:v>
      </x:c>
      <x:c r="K50" s="36" t="str">
        <x:v>ALLOW</x:v>
      </x:c>
      <x:c r="L50" s="37" t="n">
        <x:f>ROUND(E50*F50,2)</x:f>
        <x:v>5600</x:v>
      </x:c>
      <x:c r="M50" s="37" t="n">
        <x:f>ROUND(E50*G50,2)</x:f>
        <x:v>7000</x:v>
      </x:c>
      <x:c r="N50" s="37" t="n">
        <x:f>ROUND(E50*I50,2)</x:f>
        <x:v>8750</x:v>
      </x:c>
      <x:c r="O50" s="18" t="str">
        <x:v>RN/nutrition consultant fee allowance; wage benchmark is not consulting fee Low/high are -20%/+25% rate sensitivity, not observed market range.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48" customHeight="1">
      <x:c r="A51" s="1" t="str">
        <x:v>CNT-052</x:v>
      </x:c>
      <x:c r="B51" s="1" t="str">
        <x:v>Content production</x:v>
      </x:c>
      <x:c r="C51" s="18" t="str">
        <x:v>adult-approved handwashing micro-video</x:v>
      </x:c>
      <x:c r="D51" s="18" t="str">
        <x:v>45-second clip</x:v>
      </x:c>
      <x:c r="E51" s="32" t="n">
        <x:v>1</x:v>
      </x:c>
      <x:c r="F51" s="33" t="n">
        <x:v>1440</x:v>
      </x:c>
      <x:c r="G51" s="33" t="n">
        <x:v>1800</x:v>
      </x:c>
      <x:c r="H51" s="34" t="str">
        <x:v>one_time</x:v>
      </x:c>
      <x:c r="I51" s="33" t="n">
        <x:v>2250</x:v>
      </x:c>
      <x:c r="J51" s="35" t="str">
        <x:v>Planning allowance; written quote needed</x:v>
      </x:c>
      <x:c r="K51" s="36" t="str">
        <x:v>ALLOW</x:v>
      </x:c>
      <x:c r="L51" s="37" t="n">
        <x:f>ROUND(E51*F51,2)</x:f>
        <x:v>1440</x:v>
      </x:c>
      <x:c r="M51" s="37" t="n">
        <x:f>ROUND(E51*G51,2)</x:f>
        <x:v>1800</x:v>
      </x:c>
      <x:c r="N51" s="37" t="n">
        <x:f>ROUND(E51*I51,2)</x:f>
        <x:v>2250</x:v>
      </x:c>
      <x:c r="O51" s="18" t="str">
        <x:v>Production including script-to-finish incremental clip Low/high are -20%/+25% rate sensitivity, not observed market range.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48" customHeight="1">
      <x:c r="A52" s="1" t="str">
        <x:v>CNT-053</x:v>
      </x:c>
      <x:c r="B52" s="1" t="str">
        <x:v>Content production</x:v>
      </x:c>
      <x:c r="C52" s="18" t="str">
        <x:v>additional habit micro-videos</x:v>
      </x:c>
      <x:c r="D52" s="18" t="str">
        <x:v>45-second clip</x:v>
      </x:c>
      <x:c r="E52" s="32" t="n">
        <x:v>9</x:v>
      </x:c>
      <x:c r="F52" s="33" t="n">
        <x:v>1440</x:v>
      </x:c>
      <x:c r="G52" s="33" t="n">
        <x:v>1800</x:v>
      </x:c>
      <x:c r="H52" s="34" t="str">
        <x:v>one_time</x:v>
      </x:c>
      <x:c r="I52" s="33" t="n">
        <x:v>2250</x:v>
      </x:c>
      <x:c r="J52" s="35" t="str">
        <x:v>Planning allowance; written quote needed</x:v>
      </x:c>
      <x:c r="K52" s="36" t="str">
        <x:v>ALLOW</x:v>
      </x:c>
      <x:c r="L52" s="37" t="n">
        <x:f>ROUND(E52*F52,2)</x:f>
        <x:v>12960</x:v>
      </x:c>
      <x:c r="M52" s="37" t="n">
        <x:f>ROUND(E52*G52,2)</x:f>
        <x:v>16200</x:v>
      </x:c>
      <x:c r="N52" s="37" t="n">
        <x:f>ROUND(E52*I52,2)</x:f>
        <x:v>20250</x:v>
      </x:c>
      <x:c r="O52" s="18" t="str">
        <x:v>Nine further QR habit clips Low/high are -20%/+25% rate sensitivity, not observed market range.</x:v>
      </x:c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48" customHeight="1">
      <x:c r="A53" s="1" t="str">
        <x:v>CNT-054</x:v>
      </x:c>
      <x:c r="B53" s="1" t="str">
        <x:v>Content production</x:v>
      </x:c>
      <x:c r="C53" s="18" t="str">
        <x:v>QR artwork and printed card design</x:v>
      </x:c>
      <x:c r="D53" s="18" t="str">
        <x:v>hour</x:v>
      </x:c>
      <x:c r="E53" s="32" t="n">
        <x:v>24</x:v>
      </x:c>
      <x:c r="F53" s="33" t="n">
        <x:v>72</x:v>
      </x:c>
      <x:c r="G53" s="33" t="n">
        <x:v>90</x:v>
      </x:c>
      <x:c r="H53" s="34" t="str">
        <x:v>one_time</x:v>
      </x:c>
      <x:c r="I53" s="33" t="n">
        <x:v>112.5</x:v>
      </x:c>
      <x:c r="J53" s="35" t="str">
        <x:v>Planning allowance; written quote needed</x:v>
      </x:c>
      <x:c r="K53" s="36" t="str">
        <x:v>ALLOW</x:v>
      </x:c>
      <x:c r="L53" s="37" t="n">
        <x:f>ROUND(E53*F53,2)</x:f>
        <x:v>1728</x:v>
      </x:c>
      <x:c r="M53" s="37" t="n">
        <x:f>ROUND(E53*G53,2)</x:f>
        <x:v>2160</x:v>
      </x:c>
      <x:c r="N53" s="37" t="n">
        <x:f>ROUND(E53*I53,2)</x:f>
        <x:v>2700</x:v>
      </x:c>
      <x:c r="O53" s="18" t="str">
        <x:v>QR card design Low/high are -20%/+25% rate sensitivity, not observed market range.</x:v>
      </x:c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48" customHeight="1">
      <x:c r="A54" s="1" t="str">
        <x:v>CNT-056</x:v>
      </x:c>
      <x:c r="B54" s="1" t="str">
        <x:v>Content production</x:v>
      </x:c>
      <x:c r="C54" s="18" t="str">
        <x:v>brand master artwork audit</x:v>
      </x:c>
      <x:c r="D54" s="18" t="str">
        <x:v>hour</x:v>
      </x:c>
      <x:c r="E54" s="32" t="n">
        <x:v>24</x:v>
      </x:c>
      <x:c r="F54" s="33" t="n">
        <x:v>80</x:v>
      </x:c>
      <x:c r="G54" s="33" t="n">
        <x:v>100</x:v>
      </x:c>
      <x:c r="H54" s="34" t="str">
        <x:v>one_time</x:v>
      </x:c>
      <x:c r="I54" s="33" t="n">
        <x:v>125</x:v>
      </x:c>
      <x:c r="J54" s="35" t="str">
        <x:v>Planning allowance; written quote needed</x:v>
      </x:c>
      <x:c r="K54" s="36" t="str">
        <x:v>ALLOW</x:v>
      </x:c>
      <x:c r="L54" s="37" t="n">
        <x:f>ROUND(E54*F54,2)</x:f>
        <x:v>1920</x:v>
      </x:c>
      <x:c r="M54" s="37" t="n">
        <x:f>ROUND(E54*G54,2)</x:f>
        <x:v>2400</x:v>
      </x:c>
      <x:c r="N54" s="37" t="n">
        <x:f>ROUND(E54*I54,2)</x:f>
        <x:v>3000</x:v>
      </x:c>
      <x:c r="O54" s="18" t="str">
        <x:v>Brand audit Low/high are -20%/+25% rate sensitivity, not observed market range.</x:v>
      </x:c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48" customHeight="1">
      <x:c r="A55" s="1" t="str">
        <x:v>CNT-057</x:v>
      </x:c>
      <x:c r="B55" s="1" t="str">
        <x:v>Content production</x:v>
      </x:c>
      <x:c r="C55" s="18" t="str">
        <x:v>logo and lockup production masters</x:v>
      </x:c>
      <x:c r="D55" s="18" t="str">
        <x:v>hour</x:v>
      </x:c>
      <x:c r="E55" s="32" t="n">
        <x:v>24</x:v>
      </x:c>
      <x:c r="F55" s="33" t="n">
        <x:v>80</x:v>
      </x:c>
      <x:c r="G55" s="33" t="n">
        <x:v>100</x:v>
      </x:c>
      <x:c r="H55" s="34" t="str">
        <x:v>one_time</x:v>
      </x:c>
      <x:c r="I55" s="33" t="n">
        <x:v>125</x:v>
      </x:c>
      <x:c r="J55" s="35" t="str">
        <x:v>Planning allowance; written quote needed</x:v>
      </x:c>
      <x:c r="K55" s="36" t="str">
        <x:v>ALLOW</x:v>
      </x:c>
      <x:c r="L55" s="37" t="n">
        <x:f>ROUND(E55*F55,2)</x:f>
        <x:v>1920</x:v>
      </x:c>
      <x:c r="M55" s="37" t="n">
        <x:f>ROUND(E55*G55,2)</x:f>
        <x:v>2400</x:v>
      </x:c>
      <x:c r="N55" s="37" t="n">
        <x:f>ROUND(E55*I55,2)</x:f>
        <x:v>3000</x:v>
      </x:c>
      <x:c r="O55" s="18" t="str">
        <x:v>Logo production masters Low/high are -20%/+25% rate sensitivity, not observed market range.</x:v>
      </x:c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48" customHeight="1">
      <x:c r="A56" s="1" t="str">
        <x:v>CNT-058</x:v>
      </x:c>
      <x:c r="B56" s="1" t="str">
        <x:v>Content production</x:v>
      </x:c>
      <x:c r="C56" s="18" t="str">
        <x:v>episode title cards and end cards</x:v>
      </x:c>
      <x:c r="D56" s="18" t="str">
        <x:v>hour</x:v>
      </x:c>
      <x:c r="E56" s="32" t="n">
        <x:v>24</x:v>
      </x:c>
      <x:c r="F56" s="33" t="n">
        <x:v>72</x:v>
      </x:c>
      <x:c r="G56" s="33" t="n">
        <x:v>90</x:v>
      </x:c>
      <x:c r="H56" s="34" t="str">
        <x:v>one_time</x:v>
      </x:c>
      <x:c r="I56" s="33" t="n">
        <x:v>112.5</x:v>
      </x:c>
      <x:c r="J56" s="35" t="str">
        <x:v>Planning allowance; written quote needed</x:v>
      </x:c>
      <x:c r="K56" s="36" t="str">
        <x:v>ALLOW</x:v>
      </x:c>
      <x:c r="L56" s="37" t="n">
        <x:f>ROUND(E56*F56,2)</x:f>
        <x:v>1728</x:v>
      </x:c>
      <x:c r="M56" s="37" t="n">
        <x:f>ROUND(E56*G56,2)</x:f>
        <x:v>2160</x:v>
      </x:c>
      <x:c r="N56" s="37" t="n">
        <x:f>ROUND(E56*I56,2)</x:f>
        <x:v>2700</x:v>
      </x:c>
      <x:c r="O56" s="18" t="str">
        <x:v>Title/end cards Low/high are -20%/+25% rate sensitivity, not observed market range.</x:v>
      </x:c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48" customHeight="1">
      <x:c r="A57" s="1" t="str">
        <x:v>CNT-059</x:v>
      </x:c>
      <x:c r="B57" s="1" t="str">
        <x:v>Content production</x:v>
      </x:c>
      <x:c r="C57" s="18" t="str">
        <x:v>thumbnail and key art package</x:v>
      </x:c>
      <x:c r="D57" s="18" t="str">
        <x:v>episode artwork set</x:v>
      </x:c>
      <x:c r="E57" s="32" t="n">
        <x:v>12</x:v>
      </x:c>
      <x:c r="F57" s="33" t="n">
        <x:v>160</x:v>
      </x:c>
      <x:c r="G57" s="33" t="n">
        <x:v>200</x:v>
      </x:c>
      <x:c r="H57" s="34" t="str">
        <x:v>one_time</x:v>
      </x:c>
      <x:c r="I57" s="33" t="n">
        <x:v>250</x:v>
      </x:c>
      <x:c r="J57" s="35" t="str">
        <x:v>Planning allowance; written quote needed</x:v>
      </x:c>
      <x:c r="K57" s="36" t="str">
        <x:v>ALLOW</x:v>
      </x:c>
      <x:c r="L57" s="37" t="n">
        <x:f>ROUND(E57*F57,2)</x:f>
        <x:v>1920</x:v>
      </x:c>
      <x:c r="M57" s="37" t="n">
        <x:f>ROUND(E57*G57,2)</x:f>
        <x:v>2400</x:v>
      </x:c>
      <x:c r="N57" s="37" t="n">
        <x:f>ROUND(E57*I57,2)</x:f>
        <x:v>3000</x:v>
      </x:c>
      <x:c r="O57" s="18" t="str">
        <x:v>Thumbnails Low/high are -20%/+25% rate sensitivity, not observed market range.</x:v>
      </x:c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48" customHeight="1">
      <x:c r="A58" s="1" t="str">
        <x:v>CNT-060</x:v>
      </x:c>
      <x:c r="B58" s="1" t="str">
        <x:v>Content production</x:v>
      </x:c>
      <x:c r="C58" s="18" t="str">
        <x:v>character pose and expression social library</x:v>
      </x:c>
      <x:c r="D58" s="18" t="str">
        <x:v>pose</x:v>
      </x:c>
      <x:c r="E58" s="32" t="n">
        <x:v>24</x:v>
      </x:c>
      <x:c r="F58" s="33" t="n">
        <x:v>120</x:v>
      </x:c>
      <x:c r="G58" s="33" t="n">
        <x:v>150</x:v>
      </x:c>
      <x:c r="H58" s="34" t="str">
        <x:v>one_time</x:v>
      </x:c>
      <x:c r="I58" s="33" t="n">
        <x:v>187.5</x:v>
      </x:c>
      <x:c r="J58" s="35" t="str">
        <x:v>Planning allowance; written quote needed</x:v>
      </x:c>
      <x:c r="K58" s="36" t="str">
        <x:v>ALLOW</x:v>
      </x:c>
      <x:c r="L58" s="37" t="n">
        <x:f>ROUND(E58*F58,2)</x:f>
        <x:v>2880</x:v>
      </x:c>
      <x:c r="M58" s="37" t="n">
        <x:f>ROUND(E58*G58,2)</x:f>
        <x:v>3600</x:v>
      </x:c>
      <x:c r="N58" s="37" t="n">
        <x:f>ROUND(E58*I58,2)</x:f>
        <x:v>4500</x:v>
      </x:c>
      <x:c r="O58" s="18" t="str">
        <x:v>Social pose library Low/high are -20%/+25% rate sensitivity, not observed market range.</x:v>
      </x:c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48" customHeight="1">
      <x:c r="A59" s="1" t="str">
        <x:v>CNT-062</x:v>
      </x:c>
      <x:c r="B59" s="1" t="str">
        <x:v>Content production</x:v>
      </x:c>
      <x:c r="C59" s="18" t="str">
        <x:v>launch trailer edit</x:v>
      </x:c>
      <x:c r="D59" s="18" t="str">
        <x:v>hour</x:v>
      </x:c>
      <x:c r="E59" s="32" t="n">
        <x:v>24</x:v>
      </x:c>
      <x:c r="F59" s="33" t="n">
        <x:v>100</x:v>
      </x:c>
      <x:c r="G59" s="33" t="n">
        <x:v>125</x:v>
      </x:c>
      <x:c r="H59" s="34" t="str">
        <x:v>one_time</x:v>
      </x:c>
      <x:c r="I59" s="33" t="n">
        <x:v>156.25</x:v>
      </x:c>
      <x:c r="J59" s="35" t="str">
        <x:v>Planning allowance; written quote needed</x:v>
      </x:c>
      <x:c r="K59" s="36" t="str">
        <x:v>ALLOW</x:v>
      </x:c>
      <x:c r="L59" s="37" t="n">
        <x:f>ROUND(E59*F59,2)</x:f>
        <x:v>2400</x:v>
      </x:c>
      <x:c r="M59" s="37" t="n">
        <x:f>ROUND(E59*G59,2)</x:f>
        <x:v>3000</x:v>
      </x:c>
      <x:c r="N59" s="37" t="n">
        <x:f>ROUND(E59*I59,2)</x:f>
        <x:v>3750</x:v>
      </x:c>
      <x:c r="O59" s="18" t="str">
        <x:v>Trailer edit from season assets Low/high are -20%/+25% rate sensitivity, not observed market range.</x:v>
      </x:c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48" customHeight="1">
      <x:c r="A60" s="1" t="str">
        <x:v>CNT-063</x:v>
      </x:c>
      <x:c r="B60" s="1" t="str">
        <x:v>Content production</x:v>
      </x:c>
      <x:c r="C60" s="18" t="str">
        <x:v>social cutdowns and vertical edits</x:v>
      </x:c>
      <x:c r="D60" s="18" t="str">
        <x:v>cutdown</x:v>
      </x:c>
      <x:c r="E60" s="32" t="n">
        <x:v>24</x:v>
      </x:c>
      <x:c r="F60" s="33" t="n">
        <x:v>120</x:v>
      </x:c>
      <x:c r="G60" s="33" t="n">
        <x:v>150</x:v>
      </x:c>
      <x:c r="H60" s="34" t="str">
        <x:v>one_time</x:v>
      </x:c>
      <x:c r="I60" s="33" t="n">
        <x:v>187.5</x:v>
      </x:c>
      <x:c r="J60" s="35" t="str">
        <x:v>Planning allowance; written quote needed</x:v>
      </x:c>
      <x:c r="K60" s="36" t="str">
        <x:v>ALLOW</x:v>
      </x:c>
      <x:c r="L60" s="37" t="n">
        <x:f>ROUND(E60*F60,2)</x:f>
        <x:v>2880</x:v>
      </x:c>
      <x:c r="M60" s="37" t="n">
        <x:f>ROUND(E60*G60,2)</x:f>
        <x:v>3600</x:v>
      </x:c>
      <x:c r="N60" s="37" t="n">
        <x:f>ROUND(E60*I60,2)</x:f>
        <x:v>4500</x:v>
      </x:c>
      <x:c r="O60" s="18" t="str">
        <x:v>Vertical edits Low/high are -20%/+25% rate sensitivity, not observed market range.</x:v>
      </x:c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48" customHeight="1">
      <x:c r="A61" s="1" t="str">
        <x:v>CNT-064</x:v>
      </x:c>
      <x:c r="B61" s="1" t="str">
        <x:v>Content production</x:v>
      </x:c>
      <x:c r="C61" s="18" t="str">
        <x:v>partner daycare sales kit</x:v>
      </x:c>
      <x:c r="D61" s="18" t="str">
        <x:v>hour</x:v>
      </x:c>
      <x:c r="E61" s="32" t="n">
        <x:v>24</x:v>
      </x:c>
      <x:c r="F61" s="33" t="n">
        <x:v>80</x:v>
      </x:c>
      <x:c r="G61" s="33" t="n">
        <x:v>100</x:v>
      </x:c>
      <x:c r="H61" s="34" t="str">
        <x:v>one_time</x:v>
      </x:c>
      <x:c r="I61" s="33" t="n">
        <x:v>125</x:v>
      </x:c>
      <x:c r="J61" s="35" t="str">
        <x:v>Planning allowance; written quote needed</x:v>
      </x:c>
      <x:c r="K61" s="36" t="str">
        <x:v>ALLOW</x:v>
      </x:c>
      <x:c r="L61" s="37" t="n">
        <x:f>ROUND(E61*F61,2)</x:f>
        <x:v>1920</x:v>
      </x:c>
      <x:c r="M61" s="37" t="n">
        <x:f>ROUND(E61*G61,2)</x:f>
        <x:v>2400</x:v>
      </x:c>
      <x:c r="N61" s="37" t="n">
        <x:f>ROUND(E61*I61,2)</x:f>
        <x:v>3000</x:v>
      </x:c>
      <x:c r="O61" s="18" t="str">
        <x:v>Daycare kit Low/high are -20%/+25% rate sensitivity, not observed market range.</x:v>
      </x:c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48" customHeight="1">
      <x:c r="A62" s="1" t="str">
        <x:v>CNT-065</x:v>
      </x:c>
      <x:c r="B62" s="1" t="str">
        <x:v>Content production</x:v>
      </x:c>
      <x:c r="C62" s="18" t="str">
        <x:v>church and community partner kit</x:v>
      </x:c>
      <x:c r="D62" s="18" t="str">
        <x:v>hour</x:v>
      </x:c>
      <x:c r="E62" s="32" t="n">
        <x:v>16</x:v>
      </x:c>
      <x:c r="F62" s="33" t="n">
        <x:v>80</x:v>
      </x:c>
      <x:c r="G62" s="33" t="n">
        <x:v>100</x:v>
      </x:c>
      <x:c r="H62" s="34" t="str">
        <x:v>one_time</x:v>
      </x:c>
      <x:c r="I62" s="33" t="n">
        <x:v>125</x:v>
      </x:c>
      <x:c r="J62" s="35" t="str">
        <x:v>Planning allowance; written quote needed</x:v>
      </x:c>
      <x:c r="K62" s="36" t="str">
        <x:v>ALLOW</x:v>
      </x:c>
      <x:c r="L62" s="37" t="n">
        <x:f>ROUND(E62*F62,2)</x:f>
        <x:v>1280</x:v>
      </x:c>
      <x:c r="M62" s="37" t="n">
        <x:f>ROUND(E62*G62,2)</x:f>
        <x:v>1600</x:v>
      </x:c>
      <x:c r="N62" s="37" t="n">
        <x:f>ROUND(E62*I62,2)</x:f>
        <x:v>2000</x:v>
      </x:c>
      <x:c r="O62" s="18" t="str">
        <x:v>Church adaptation Low/high are -20%/+25% rate sensitivity, not observed market range.</x:v>
      </x:c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48" customHeight="1">
      <x:c r="A63" s="1" t="str">
        <x:v>CNT-066</x:v>
      </x:c>
      <x:c r="B63" s="1" t="str">
        <x:v>Content production</x:v>
      </x:c>
      <x:c r="C63" s="18" t="str">
        <x:v>parent onboarding content</x:v>
      </x:c>
      <x:c r="D63" s="18" t="str">
        <x:v>hour</x:v>
      </x:c>
      <x:c r="E63" s="32" t="n">
        <x:v>24</x:v>
      </x:c>
      <x:c r="F63" s="33" t="n">
        <x:v>72</x:v>
      </x:c>
      <x:c r="G63" s="33" t="n">
        <x:v>90</x:v>
      </x:c>
      <x:c r="H63" s="34" t="str">
        <x:v>one_time</x:v>
      </x:c>
      <x:c r="I63" s="33" t="n">
        <x:v>112.5</x:v>
      </x:c>
      <x:c r="J63" s="35" t="str">
        <x:v>Planning allowance; written quote needed</x:v>
      </x:c>
      <x:c r="K63" s="36" t="str">
        <x:v>ALLOW</x:v>
      </x:c>
      <x:c r="L63" s="37" t="n">
        <x:f>ROUND(E63*F63,2)</x:f>
        <x:v>1728</x:v>
      </x:c>
      <x:c r="M63" s="37" t="n">
        <x:f>ROUND(E63*G63,2)</x:f>
        <x:v>2160</x:v>
      </x:c>
      <x:c r="N63" s="37" t="n">
        <x:f>ROUND(E63*I63,2)</x:f>
        <x:v>2700</x:v>
      </x:c>
      <x:c r="O63" s="18" t="str">
        <x:v>Parent onboarding Low/high are -20%/+25% rate sensitivity, not observed market range.</x:v>
      </x:c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48" customHeight="1">
      <x:c r="A64" s="1" t="str">
        <x:v>CNT-069</x:v>
      </x:c>
      <x:c r="B64" s="1" t="str">
        <x:v>Content production</x:v>
      </x:c>
      <x:c r="C64" s="18" t="str">
        <x:v>character and artwork chain-of-title audit</x:v>
      </x:c>
      <x:c r="D64" s="18" t="str">
        <x:v>attorney hour</x:v>
      </x:c>
      <x:c r="E64" s="32" t="n">
        <x:v>12</x:v>
      </x:c>
      <x:c r="F64" s="33" t="n">
        <x:v>280</x:v>
      </x:c>
      <x:c r="G64" s="33" t="n">
        <x:v>350</x:v>
      </x:c>
      <x:c r="H64" s="34" t="str">
        <x:v>one_time</x:v>
      </x:c>
      <x:c r="I64" s="33" t="n">
        <x:v>437.5</x:v>
      </x:c>
      <x:c r="J64" s="35" t="str">
        <x:v>Planning allowance; written quote needed</x:v>
      </x:c>
      <x:c r="K64" s="36" t="str">
        <x:v>ALLOW</x:v>
      </x:c>
      <x:c r="L64" s="37" t="n">
        <x:f>ROUND(E64*F64,2)</x:f>
        <x:v>3360</x:v>
      </x:c>
      <x:c r="M64" s="37" t="n">
        <x:f>ROUND(E64*G64,2)</x:f>
        <x:v>4200</x:v>
      </x:c>
      <x:c r="N64" s="37" t="n">
        <x:f>ROUND(E64*I64,2)</x:f>
        <x:v>5250</x:v>
      </x:c>
      <x:c r="O64" s="18" t="str">
        <x:v>Chain of title review Low/high are -20%/+25% rate sensitivity, not observed market range.</x:v>
      </x:c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48" customHeight="1">
      <x:c r="A65" s="1" t="str">
        <x:v>CNT-070</x:v>
      </x:c>
      <x:c r="B65" s="1" t="str">
        <x:v>Content production</x:v>
      </x:c>
      <x:c r="C65" s="18" t="str">
        <x:v>voice talent commercial buyouts</x:v>
      </x:c>
      <x:c r="D65" s="18" t="str">
        <x:v>voice role buyout</x:v>
      </x:c>
      <x:c r="E65" s="32" t="n">
        <x:v>8</x:v>
      </x:c>
      <x:c r="F65" s="33" t="n">
        <x:v>1200</x:v>
      </x:c>
      <x:c r="G65" s="33" t="n">
        <x:v>1500</x:v>
      </x:c>
      <x:c r="H65" s="34" t="str">
        <x:v>one_time</x:v>
      </x:c>
      <x:c r="I65" s="33" t="n">
        <x:v>1875</x:v>
      </x:c>
      <x:c r="J65" s="35" t="str">
        <x:v>Planning allowance; written quote needed</x:v>
      </x:c>
      <x:c r="K65" s="36" t="str">
        <x:v>ALLOW</x:v>
      </x:c>
      <x:c r="L65" s="37" t="n">
        <x:f>ROUND(E65*F65,2)</x:f>
        <x:v>9600</x:v>
      </x:c>
      <x:c r="M65" s="37" t="n">
        <x:f>ROUND(E65*G65,2)</x:f>
        <x:v>12000</x:v>
      </x:c>
      <x:c r="N65" s="37" t="n">
        <x:f>ROUND(E65*I65,2)</x:f>
        <x:v>15000</x:v>
      </x:c>
      <x:c r="O65" s="18" t="str">
        <x:v>Contract allowance; confirm media, territories, duration Low/high are -20%/+25% rate sensitivity, not observed market range.</x:v>
      </x:c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48" customHeight="1">
      <x:c r="A66" s="1" t="str">
        <x:v>CNT-071</x:v>
      </x:c>
      <x:c r="B66" s="1" t="str">
        <x:v>Content production</x:v>
      </x:c>
      <x:c r="C66" s="18" t="str">
        <x:v>music and sound license register</x:v>
      </x:c>
      <x:c r="D66" s="18" t="str">
        <x:v>hour</x:v>
      </x:c>
      <x:c r="E66" s="32" t="n">
        <x:v>16</x:v>
      </x:c>
      <x:c r="F66" s="33" t="n">
        <x:v>60</x:v>
      </x:c>
      <x:c r="G66" s="33" t="n">
        <x:v>75</x:v>
      </x:c>
      <x:c r="H66" s="34" t="str">
        <x:v>one_time</x:v>
      </x:c>
      <x:c r="I66" s="33" t="n">
        <x:v>93.75</x:v>
      </x:c>
      <x:c r="J66" s="35" t="str">
        <x:v>Planning allowance; written quote needed</x:v>
      </x:c>
      <x:c r="K66" s="36" t="str">
        <x:v>ALLOW</x:v>
      </x:c>
      <x:c r="L66" s="37" t="n">
        <x:f>ROUND(E66*F66,2)</x:f>
        <x:v>960</x:v>
      </x:c>
      <x:c r="M66" s="37" t="n">
        <x:f>ROUND(E66*G66,2)</x:f>
        <x:v>1200</x:v>
      </x:c>
      <x:c r="N66" s="37" t="n">
        <x:f>ROUND(E66*I66,2)</x:f>
        <x:v>1500</x:v>
      </x:c>
      <x:c r="O66" s="18" t="str">
        <x:v>Rights register Low/high are -20%/+25% rate sensitivity, not observed market range.</x:v>
      </x:c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48" customHeight="1">
      <x:c r="A67" s="1" t="str">
        <x:v>CNT-073</x:v>
      </x:c>
      <x:c r="B67" s="1" t="str">
        <x:v>Content production</x:v>
      </x:c>
      <x:c r="C67" s="18" t="str">
        <x:v>video encoding and web derivatives</x:v>
      </x:c>
      <x:c r="D67" s="18" t="str">
        <x:v>hour</x:v>
      </x:c>
      <x:c r="E67" s="32" t="n">
        <x:v>24</x:v>
      </x:c>
      <x:c r="F67" s="33" t="n">
        <x:v>60</x:v>
      </x:c>
      <x:c r="G67" s="33" t="n">
        <x:v>75</x:v>
      </x:c>
      <x:c r="H67" s="34" t="str">
        <x:v>one_time</x:v>
      </x:c>
      <x:c r="I67" s="33" t="n">
        <x:v>93.75</x:v>
      </x:c>
      <x:c r="J67" s="35" t="str">
        <x:v>Planning allowance; written quote needed</x:v>
      </x:c>
      <x:c r="K67" s="36" t="str">
        <x:v>ALLOW</x:v>
      </x:c>
      <x:c r="L67" s="37" t="n">
        <x:f>ROUND(E67*F67,2)</x:f>
        <x:v>1440</x:v>
      </x:c>
      <x:c r="M67" s="37" t="n">
        <x:f>ROUND(E67*G67,2)</x:f>
        <x:v>1800</x:v>
      </x:c>
      <x:c r="N67" s="37" t="n">
        <x:f>ROUND(E67*I67,2)</x:f>
        <x:v>2250</x:v>
      </x:c>
      <x:c r="O67" s="18" t="str">
        <x:v>Encoding Low/high are -20%/+25% rate sensitivity, not observed market range.</x:v>
      </x:c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48" customHeight="1">
      <x:c r="A68" s="1" t="str">
        <x:v>CNT-074</x:v>
      </x:c>
      <x:c r="B68" s="1" t="str">
        <x:v>Content production</x:v>
      </x:c>
      <x:c r="C68" s="18" t="str">
        <x:v>content metadata and taxonomy entry</x:v>
      </x:c>
      <x:c r="D68" s="18" t="str">
        <x:v>hour</x:v>
      </x:c>
      <x:c r="E68" s="32" t="n">
        <x:v>40</x:v>
      </x:c>
      <x:c r="F68" s="33" t="n">
        <x:v>48</x:v>
      </x:c>
      <x:c r="G68" s="33" t="n">
        <x:v>60</x:v>
      </x:c>
      <x:c r="H68" s="34" t="str">
        <x:v>one_time</x:v>
      </x:c>
      <x:c r="I68" s="33" t="n">
        <x:v>75</x:v>
      </x:c>
      <x:c r="J68" s="35" t="str">
        <x:v>Planning allowance; written quote needed</x:v>
      </x:c>
      <x:c r="K68" s="36" t="str">
        <x:v>ALLOW</x:v>
      </x:c>
      <x:c r="L68" s="37" t="n">
        <x:f>ROUND(E68*F68,2)</x:f>
        <x:v>1920</x:v>
      </x:c>
      <x:c r="M68" s="37" t="n">
        <x:f>ROUND(E68*G68,2)</x:f>
        <x:v>2400</x:v>
      </x:c>
      <x:c r="N68" s="37" t="n">
        <x:f>ROUND(E68*I68,2)</x:f>
        <x:v>3000</x:v>
      </x:c>
      <x:c r="O68" s="18" t="str">
        <x:v>Taxonomy Low/high are -20%/+25% rate sensitivity, not observed market range.</x:v>
      </x:c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48" customHeight="1">
      <x:c r="A69" s="1" t="str">
        <x:v>CNT-075</x:v>
      </x:c>
      <x:c r="B69" s="1" t="str">
        <x:v>Content production</x:v>
      </x:c>
      <x:c r="C69" s="18" t="str">
        <x:v>content ingestion and QA</x:v>
      </x:c>
      <x:c r="D69" s="18" t="str">
        <x:v>hour</x:v>
      </x:c>
      <x:c r="E69" s="32" t="n">
        <x:v>40</x:v>
      </x:c>
      <x:c r="F69" s="33" t="n">
        <x:v>48</x:v>
      </x:c>
      <x:c r="G69" s="33" t="n">
        <x:v>60</x:v>
      </x:c>
      <x:c r="H69" s="34" t="str">
        <x:v>one_time</x:v>
      </x:c>
      <x:c r="I69" s="33" t="n">
        <x:v>75</x:v>
      </x:c>
      <x:c r="J69" s="35" t="str">
        <x:v>Planning allowance; written quote needed</x:v>
      </x:c>
      <x:c r="K69" s="36" t="str">
        <x:v>ALLOW</x:v>
      </x:c>
      <x:c r="L69" s="37" t="n">
        <x:f>ROUND(E69*F69,2)</x:f>
        <x:v>1920</x:v>
      </x:c>
      <x:c r="M69" s="37" t="n">
        <x:f>ROUND(E69*G69,2)</x:f>
        <x:v>2400</x:v>
      </x:c>
      <x:c r="N69" s="37" t="n">
        <x:f>ROUND(E69*I69,2)</x:f>
        <x:v>3000</x:v>
      </x:c>
      <x:c r="O69" s="18" t="str">
        <x:v>Ingest Low/high are -20%/+25% rate sensitivity, not observed market range.</x:v>
      </x:c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48" customHeight="1">
      <x:c r="A70" s="1" t="str">
        <x:v>CNT-077</x:v>
      </x:c>
      <x:c r="B70" s="1" t="str">
        <x:v>Content production</x:v>
      </x:c>
      <x:c r="C70" s="18" t="str">
        <x:v>content release and version control</x:v>
      </x:c>
      <x:c r="D70" s="18" t="str">
        <x:v>hour</x:v>
      </x:c>
      <x:c r="E70" s="32" t="n">
        <x:v>24</x:v>
      </x:c>
      <x:c r="F70" s="33" t="n">
        <x:v>60</x:v>
      </x:c>
      <x:c r="G70" s="33" t="n">
        <x:v>75</x:v>
      </x:c>
      <x:c r="H70" s="34" t="str">
        <x:v>one_time</x:v>
      </x:c>
      <x:c r="I70" s="33" t="n">
        <x:v>93.75</x:v>
      </x:c>
      <x:c r="J70" s="35" t="str">
        <x:v>Planning allowance; written quote needed</x:v>
      </x:c>
      <x:c r="K70" s="36" t="str">
        <x:v>ALLOW</x:v>
      </x:c>
      <x:c r="L70" s="37" t="n">
        <x:f>ROUND(E70*F70,2)</x:f>
        <x:v>1440</x:v>
      </x:c>
      <x:c r="M70" s="37" t="n">
        <x:f>ROUND(E70*G70,2)</x:f>
        <x:v>1800</x:v>
      </x:c>
      <x:c r="N70" s="37" t="n">
        <x:f>ROUND(E70*I70,2)</x:f>
        <x:v>2250</x:v>
      </x:c>
      <x:c r="O70" s="18" t="str">
        <x:v>Release/versioning Low/high are -20%/+25% rate sensitivity, not observed market range.</x:v>
      </x:c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48" customHeight="1">
      <x:c r="A71" s="1" t="str">
        <x:v>CNT-078</x:v>
      </x:c>
      <x:c r="B71" s="1" t="str">
        <x:v>Content production</x:v>
      </x:c>
      <x:c r="C71" s="18" t="str">
        <x:v>content proofing and continuity pass</x:v>
      </x:c>
      <x:c r="D71" s="18" t="str">
        <x:v>hour</x:v>
      </x:c>
      <x:c r="E71" s="32" t="n">
        <x:v>60</x:v>
      </x:c>
      <x:c r="F71" s="33" t="n">
        <x:v>72</x:v>
      </x:c>
      <x:c r="G71" s="33" t="n">
        <x:v>90</x:v>
      </x:c>
      <x:c r="H71" s="34" t="str">
        <x:v>one_time</x:v>
      </x:c>
      <x:c r="I71" s="33" t="n">
        <x:v>112.5</x:v>
      </x:c>
      <x:c r="J71" s="35" t="str">
        <x:v>Planning allowance; written quote needed</x:v>
      </x:c>
      <x:c r="K71" s="36" t="str">
        <x:v>ALLOW</x:v>
      </x:c>
      <x:c r="L71" s="37" t="n">
        <x:f>ROUND(E71*F71,2)</x:f>
        <x:v>4320</x:v>
      </x:c>
      <x:c r="M71" s="37" t="n">
        <x:f>ROUND(E71*G71,2)</x:f>
        <x:v>5400</x:v>
      </x:c>
      <x:c r="N71" s="37" t="n">
        <x:f>ROUND(E71*I71,2)</x:f>
        <x:v>6750</x:v>
      </x:c>
      <x:c r="O71" s="18" t="str">
        <x:v>Continuity proofing Low/high are -20%/+25% rate sensitivity, not observed market range.</x:v>
      </x:c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48" customHeight="1">
      <x:c r="A72" s="1" t="str">
        <x:v>CNT-079</x:v>
      </x:c>
      <x:c r="B72" s="1" t="str">
        <x:v>Content production</x:v>
      </x:c>
      <x:c r="C72" s="18" t="str">
        <x:v>bilingual native-language QA</x:v>
      </x:c>
      <x:c r="D72" s="18" t="str">
        <x:v>hour</x:v>
      </x:c>
      <x:c r="E72" s="32" t="n">
        <x:v>60</x:v>
      </x:c>
      <x:c r="F72" s="33" t="n">
        <x:v>48</x:v>
      </x:c>
      <x:c r="G72" s="33" t="n">
        <x:v>60</x:v>
      </x:c>
      <x:c r="H72" s="34" t="str">
        <x:v>one_time</x:v>
      </x:c>
      <x:c r="I72" s="33" t="n">
        <x:v>75</x:v>
      </x:c>
      <x:c r="J72" s="35" t="str">
        <x:v>Planning allowance; written quote needed</x:v>
      </x:c>
      <x:c r="K72" s="36" t="str">
        <x:v>ALLOW</x:v>
      </x:c>
      <x:c r="L72" s="37" t="n">
        <x:f>ROUND(E72*F72,2)</x:f>
        <x:v>2880</x:v>
      </x:c>
      <x:c r="M72" s="37" t="n">
        <x:f>ROUND(E72*G72,2)</x:f>
        <x:v>3600</x:v>
      </x:c>
      <x:c r="N72" s="37" t="n">
        <x:f>ROUND(E72*I72,2)</x:f>
        <x:v>4500</x:v>
      </x:c>
      <x:c r="O72" s="18" t="str">
        <x:v>Native ES review Low/high are -20%/+25% rate sensitivity, not observed market range.</x:v>
      </x:c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48" customHeight="1">
      <x:c r="A73" s="1" t="str">
        <x:v>CNT-081</x:v>
      </x:c>
      <x:c r="B73" s="1" t="str">
        <x:v>Content production</x:v>
      </x:c>
      <x:c r="C73" s="18" t="str">
        <x:v>pilot audience review</x:v>
      </x:c>
      <x:c r="D73" s="18" t="str">
        <x:v>hour</x:v>
      </x:c>
      <x:c r="E73" s="32" t="n">
        <x:v>24</x:v>
      </x:c>
      <x:c r="F73" s="33" t="n">
        <x:v>100</x:v>
      </x:c>
      <x:c r="G73" s="33" t="n">
        <x:v>125</x:v>
      </x:c>
      <x:c r="H73" s="34" t="str">
        <x:v>one_time</x:v>
      </x:c>
      <x:c r="I73" s="33" t="n">
        <x:v>156.25</x:v>
      </x:c>
      <x:c r="J73" s="35" t="str">
        <x:v>Planning allowance; written quote needed</x:v>
      </x:c>
      <x:c r="K73" s="36" t="str">
        <x:v>ALLOW</x:v>
      </x:c>
      <x:c r="L73" s="37" t="n">
        <x:f>ROUND(E73*F73,2)</x:f>
        <x:v>2400</x:v>
      </x:c>
      <x:c r="M73" s="37" t="n">
        <x:f>ROUND(E73*G73,2)</x:f>
        <x:v>3000</x:v>
      </x:c>
      <x:c r="N73" s="37" t="n">
        <x:f>ROUND(E73*I73,2)</x:f>
        <x:v>3750</x:v>
      </x:c>
      <x:c r="O73" s="18" t="str">
        <x:v>Pilot review facilitation Low/high are -20%/+25% rate sensitivity, not observed market range.</x:v>
      </x:c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48" customHeight="1">
      <x:c r="A74" s="1" t="str">
        <x:v>CNT-083</x:v>
      </x:c>
      <x:c r="B74" s="1" t="str">
        <x:v>Content production</x:v>
      </x:c>
      <x:c r="C74" s="18" t="str">
        <x:v>showrunner and production management</x:v>
      </x:c>
      <x:c r="D74" s="18" t="str">
        <x:v>hour</x:v>
      </x:c>
      <x:c r="E74" s="32" t="n">
        <x:v>240</x:v>
      </x:c>
      <x:c r="F74" s="33" t="n">
        <x:v>100</x:v>
      </x:c>
      <x:c r="G74" s="33" t="n">
        <x:v>125</x:v>
      </x:c>
      <x:c r="H74" s="34" t="str">
        <x:v>one_time</x:v>
      </x:c>
      <x:c r="I74" s="33" t="n">
        <x:v>156.25</x:v>
      </x:c>
      <x:c r="J74" s="35" t="str">
        <x:v>Planning allowance; written quote needed</x:v>
      </x:c>
      <x:c r="K74" s="36" t="str">
        <x:v>ALLOW</x:v>
      </x:c>
      <x:c r="L74" s="37" t="n">
        <x:f>ROUND(E74*F74,2)</x:f>
        <x:v>24000</x:v>
      </x:c>
      <x:c r="M74" s="37" t="n">
        <x:f>ROUND(E74*G74,2)</x:f>
        <x:v>30000</x:v>
      </x:c>
      <x:c r="N74" s="37" t="n">
        <x:f>ROUND(E74*I74,2)</x:f>
        <x:v>37500</x:v>
      </x:c>
      <x:c r="O74" s="18" t="str">
        <x:v>Showrunner distinct from creator product oversight Low/high are -20%/+25% rate sensitivity, not observed market range.</x:v>
      </x:c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48" customHeight="1">
      <x:c r="A75" s="1" t="str">
        <x:v>CNT-084</x:v>
      </x:c>
      <x:c r="B75" s="1" t="str">
        <x:v>Content production</x:v>
      </x:c>
      <x:c r="C75" s="18" t="str">
        <x:v>content rights and asset librarian</x:v>
      </x:c>
      <x:c r="D75" s="18" t="str">
        <x:v>hour</x:v>
      </x:c>
      <x:c r="E75" s="32" t="n">
        <x:v>120</x:v>
      </x:c>
      <x:c r="F75" s="33" t="n">
        <x:v>48</x:v>
      </x:c>
      <x:c r="G75" s="33" t="n">
        <x:v>60</x:v>
      </x:c>
      <x:c r="H75" s="34" t="str">
        <x:v>one_time</x:v>
      </x:c>
      <x:c r="I75" s="33" t="n">
        <x:v>75</x:v>
      </x:c>
      <x:c r="J75" s="35" t="str">
        <x:v>Planning allowance; written quote needed</x:v>
      </x:c>
      <x:c r="K75" s="36" t="str">
        <x:v>ALLOW</x:v>
      </x:c>
      <x:c r="L75" s="37" t="n">
        <x:f>ROUND(E75*F75,2)</x:f>
        <x:v>5760</x:v>
      </x:c>
      <x:c r="M75" s="37" t="n">
        <x:f>ROUND(E75*G75,2)</x:f>
        <x:v>7200</x:v>
      </x:c>
      <x:c r="N75" s="37" t="n">
        <x:f>ROUND(E75*I75,2)</x:f>
        <x:v>9000</x:v>
      </x:c>
      <x:c r="O75" s="18" t="str">
        <x:v>Asset librarian Low/high are -20%/+25% rate sensitivity, not observed market range.</x:v>
      </x:c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48" customHeight="1">
      <x:c r="A76" s="1" t="str">
        <x:v>CNT-085</x:v>
      </x:c>
      <x:c r="B76" s="1" t="str">
        <x:v>Content production</x:v>
      </x:c>
      <x:c r="C76" s="18" t="str">
        <x:v>final delivery package and handoff</x:v>
      </x:c>
      <x:c r="D76" s="18" t="str">
        <x:v>hour</x:v>
      </x:c>
      <x:c r="E76" s="32" t="n">
        <x:v>24</x:v>
      </x:c>
      <x:c r="F76" s="33" t="n">
        <x:v>60</x:v>
      </x:c>
      <x:c r="G76" s="33" t="n">
        <x:v>75</x:v>
      </x:c>
      <x:c r="H76" s="34" t="str">
        <x:v>one_time</x:v>
      </x:c>
      <x:c r="I76" s="33" t="n">
        <x:v>93.75</x:v>
      </x:c>
      <x:c r="J76" s="35" t="str">
        <x:v>Planning allowance; written quote needed</x:v>
      </x:c>
      <x:c r="K76" s="36" t="str">
        <x:v>ALLOW</x:v>
      </x:c>
      <x:c r="L76" s="37" t="n">
        <x:f>ROUND(E76*F76,2)</x:f>
        <x:v>1440</x:v>
      </x:c>
      <x:c r="M76" s="37" t="n">
        <x:f>ROUND(E76*G76,2)</x:f>
        <x:v>1800</x:v>
      </x:c>
      <x:c r="N76" s="37" t="n">
        <x:f>ROUND(E76*I76,2)</x:f>
        <x:v>2250</x:v>
      </x:c>
      <x:c r="O76" s="18" t="str">
        <x:v>Delivery Low/high are -20%/+25% rate sensitivity, not observed market range.</x:v>
      </x:c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48" customHeight="1">
      <x:c r="A77" s="1" t="str">
        <x:v>CNT-086</x:v>
      </x:c>
      <x:c r="B77" s="1" t="str">
        <x:v>Content production</x:v>
      </x:c>
      <x:c r="C77" s="18" t="str">
        <x:v>parent portal notification copy</x:v>
      </x:c>
      <x:c r="D77" s="18" t="str">
        <x:v>hour</x:v>
      </x:c>
      <x:c r="E77" s="32" t="n">
        <x:v>16</x:v>
      </x:c>
      <x:c r="F77" s="33" t="n">
        <x:v>60</x:v>
      </x:c>
      <x:c r="G77" s="33" t="n">
        <x:v>75</x:v>
      </x:c>
      <x:c r="H77" s="34" t="str">
        <x:v>one_time</x:v>
      </x:c>
      <x:c r="I77" s="33" t="n">
        <x:v>93.75</x:v>
      </x:c>
      <x:c r="J77" s="35" t="str">
        <x:v>Planning allowance; written quote needed</x:v>
      </x:c>
      <x:c r="K77" s="36" t="str">
        <x:v>ALLOW</x:v>
      </x:c>
      <x:c r="L77" s="37" t="n">
        <x:f>ROUND(E77*F77,2)</x:f>
        <x:v>960</x:v>
      </x:c>
      <x:c r="M77" s="37" t="n">
        <x:f>ROUND(E77*G77,2)</x:f>
        <x:v>1200</x:v>
      </x:c>
      <x:c r="N77" s="37" t="n">
        <x:f>ROUND(E77*I77,2)</x:f>
        <x:v>1500</x:v>
      </x:c>
      <x:c r="O77" s="18" t="str">
        <x:v>Notification copy Low/high are -20%/+25% rate sensitivity, not observed market range.</x:v>
      </x:c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48" customHeight="1">
      <x:c r="A78" s="1" t="str">
        <x:v>CNT-087</x:v>
      </x:c>
      <x:c r="B78" s="1" t="str">
        <x:v>Content production</x:v>
      </x:c>
      <x:c r="C78" s="18" t="str">
        <x:v>teacher facilitation prompts</x:v>
      </x:c>
      <x:c r="D78" s="18" t="str">
        <x:v>hour</x:v>
      </x:c>
      <x:c r="E78" s="32" t="n">
        <x:v>48</x:v>
      </x:c>
      <x:c r="F78" s="33" t="n">
        <x:v>125</x:v>
      </x:c>
      <x:c r="G78" s="33" t="n">
        <x:v>125</x:v>
      </x:c>
      <x:c r="H78" s="34" t="str">
        <x:v>one_time</x:v>
      </x:c>
      <x:c r="I78" s="33" t="n">
        <x:v>125</x:v>
      </x:c>
      <x:c r="J78" s="35" t="str">
        <x:v>Published rate × assumed quantity</x:v>
      </x:c>
      <x:c r="K78" s="36" t="str">
        <x:v>ED</x:v>
      </x:c>
      <x:c r="L78" s="37" t="n">
        <x:f>ROUND(E78*F78,2)</x:f>
        <x:v>6000</x:v>
      </x:c>
      <x:c r="M78" s="37" t="n">
        <x:f>ROUND(E78*G78,2)</x:f>
        <x:v>6000</x:v>
      </x:c>
      <x:c r="N78" s="37" t="n">
        <x:f>ROUND(E78*I78,2)</x:f>
        <x:v>6000</x:v>
      </x:c>
      <x:c r="O78" s="18" t="str">
        <x:v>Facilitation prompts</x:v>
      </x:c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48" customHeight="1">
      <x:c r="A79" s="1" t="str">
        <x:v>CNT-088</x:v>
      </x:c>
      <x:c r="B79" s="1" t="str">
        <x:v>Content production</x:v>
      </x:c>
      <x:c r="C79" s="18" t="str">
        <x:v>printable worksheet and activity artwork</x:v>
      </x:c>
      <x:c r="D79" s="18" t="str">
        <x:v>hour</x:v>
      </x:c>
      <x:c r="E79" s="32" t="n">
        <x:v>48</x:v>
      </x:c>
      <x:c r="F79" s="33" t="n">
        <x:v>72</x:v>
      </x:c>
      <x:c r="G79" s="33" t="n">
        <x:v>90</x:v>
      </x:c>
      <x:c r="H79" s="34" t="str">
        <x:v>one_time</x:v>
      </x:c>
      <x:c r="I79" s="33" t="n">
        <x:v>112.5</x:v>
      </x:c>
      <x:c r="J79" s="35" t="str">
        <x:v>Planning allowance; written quote needed</x:v>
      </x:c>
      <x:c r="K79" s="36" t="str">
        <x:v>ALLOW</x:v>
      </x:c>
      <x:c r="L79" s="37" t="n">
        <x:f>ROUND(E79*F79,2)</x:f>
        <x:v>3456</x:v>
      </x:c>
      <x:c r="M79" s="37" t="n">
        <x:f>ROUND(E79*G79,2)</x:f>
        <x:v>4320</x:v>
      </x:c>
      <x:c r="N79" s="37" t="n">
        <x:f>ROUND(E79*I79,2)</x:f>
        <x:v>5400</x:v>
      </x:c>
      <x:c r="O79" s="18" t="str">
        <x:v>48 worksheet designs Low/high are -20%/+25% rate sensitivity, not observed market range.</x:v>
      </x:c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48" customHeight="1">
      <x:c r="A80" s="1" t="str">
        <x:v>CNT-089</x:v>
      </x:c>
      <x:c r="B80" s="1" t="str">
        <x:v>Content production</x:v>
      </x:c>
      <x:c r="C80" s="18" t="str">
        <x:v>merchandise-ready character artwork</x:v>
      </x:c>
      <x:c r="D80" s="18" t="str">
        <x:v>hour</x:v>
      </x:c>
      <x:c r="E80" s="32" t="n">
        <x:v>40</x:v>
      </x:c>
      <x:c r="F80" s="33" t="n">
        <x:v>80</x:v>
      </x:c>
      <x:c r="G80" s="33" t="n">
        <x:v>100</x:v>
      </x:c>
      <x:c r="H80" s="34" t="str">
        <x:v>one_time</x:v>
      </x:c>
      <x:c r="I80" s="33" t="n">
        <x:v>125</x:v>
      </x:c>
      <x:c r="J80" s="35" t="str">
        <x:v>Planning allowance; written quote needed</x:v>
      </x:c>
      <x:c r="K80" s="36" t="str">
        <x:v>ALLOW</x:v>
      </x:c>
      <x:c r="L80" s="37" t="n">
        <x:f>ROUND(E80*F80,2)</x:f>
        <x:v>3200</x:v>
      </x:c>
      <x:c r="M80" s="37" t="n">
        <x:f>ROUND(E80*G80,2)</x:f>
        <x:v>4000</x:v>
      </x:c>
      <x:c r="N80" s="37" t="n">
        <x:f>ROUND(E80*I80,2)</x:f>
        <x:v>5000</x:v>
      </x:c>
      <x:c r="O80" s="18" t="str">
        <x:v>Merch art masters Low/high are -20%/+25% rate sensitivity, not observed market range.</x:v>
      </x:c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48" customHeight="1">
      <x:c r="A81" s="1" t="str">
        <x:v>CNT-090</x:v>
      </x:c>
      <x:c r="B81" s="1" t="str">
        <x:v>Content production</x:v>
      </x:c>
      <x:c r="C81" s="18" t="str">
        <x:v>interactive character motion states</x:v>
      </x:c>
      <x:c r="D81" s="18" t="str">
        <x:v>motion state</x:v>
      </x:c>
      <x:c r="E81" s="32" t="n">
        <x:v>24</x:v>
      </x:c>
      <x:c r="F81" s="33" t="n">
        <x:v>200</x:v>
      </x:c>
      <x:c r="G81" s="33" t="n">
        <x:v>250</x:v>
      </x:c>
      <x:c r="H81" s="34" t="str">
        <x:v>one_time</x:v>
      </x:c>
      <x:c r="I81" s="33" t="n">
        <x:v>312.5</x:v>
      </x:c>
      <x:c r="J81" s="35" t="str">
        <x:v>Planning allowance; written quote needed</x:v>
      </x:c>
      <x:c r="K81" s="36" t="str">
        <x:v>ALLOW</x:v>
      </x:c>
      <x:c r="L81" s="37" t="n">
        <x:f>ROUND(E81*F81,2)</x:f>
        <x:v>4800</x:v>
      </x:c>
      <x:c r="M81" s="37" t="n">
        <x:f>ROUND(E81*G81,2)</x:f>
        <x:v>6000</x:v>
      </x:c>
      <x:c r="N81" s="37" t="n">
        <x:f>ROUND(E81*I81,2)</x:f>
        <x:v>7500</x:v>
      </x:c>
      <x:c r="O81" s="18" t="str">
        <x:v>24 short reusable states; separate from season Low/high are -20%/+25% rate sensitivity, not observed market range.</x:v>
      </x:c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48" customHeight="1">
      <x:c r="A82" s="1" t="str">
        <x:v>CNT-091</x:v>
      </x:c>
      <x:c r="B82" s="1" t="str">
        <x:v>Content production</x:v>
      </x:c>
      <x:c r="C82" s="18" t="str">
        <x:v>interactive character message recordings</x:v>
      </x:c>
      <x:c r="D82" s="18" t="str">
        <x:v>approved message</x:v>
      </x:c>
      <x:c r="E82" s="32" t="n">
        <x:v>40</x:v>
      </x:c>
      <x:c r="F82" s="33" t="n">
        <x:v>100</x:v>
      </x:c>
      <x:c r="G82" s="33" t="n">
        <x:v>125</x:v>
      </x:c>
      <x:c r="H82" s="34" t="str">
        <x:v>one_time</x:v>
      </x:c>
      <x:c r="I82" s="33" t="n">
        <x:v>156.25</x:v>
      </x:c>
      <x:c r="J82" s="35" t="str">
        <x:v>Planning allowance; written quote needed</x:v>
      </x:c>
      <x:c r="K82" s="36" t="str">
        <x:v>ALLOW</x:v>
      </x:c>
      <x:c r="L82" s="37" t="n">
        <x:f>ROUND(E82*F82,2)</x:f>
        <x:v>4000</x:v>
      </x:c>
      <x:c r="M82" s="37" t="n">
        <x:f>ROUND(E82*G82,2)</x:f>
        <x:v>5000</x:v>
      </x:c>
      <x:c r="N82" s="37" t="n">
        <x:f>ROUND(E82*I82,2)</x:f>
        <x:v>6250</x:v>
      </x:c>
      <x:c r="O82" s="18" t="str">
        <x:v>40 finite approved clips; not open AI Low/high are -20%/+25% rate sensitivity, not observed market range.</x:v>
      </x:c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48" customHeight="1">
      <x:c r="A83" s="1" t="str">
        <x:v>CNT-092</x:v>
      </x:c>
      <x:c r="B83" s="1" t="str">
        <x:v>Content production</x:v>
      </x:c>
      <x:c r="C83" s="18" t="str">
        <x:v>transcript and printable text versions</x:v>
      </x:c>
      <x:c r="D83" s="18" t="str">
        <x:v>hour</x:v>
      </x:c>
      <x:c r="E83" s="32" t="n">
        <x:v>24</x:v>
      </x:c>
      <x:c r="F83" s="33" t="n">
        <x:v>48</x:v>
      </x:c>
      <x:c r="G83" s="33" t="n">
        <x:v>60</x:v>
      </x:c>
      <x:c r="H83" s="34" t="str">
        <x:v>one_time</x:v>
      </x:c>
      <x:c r="I83" s="33" t="n">
        <x:v>75</x:v>
      </x:c>
      <x:c r="J83" s="35" t="str">
        <x:v>Planning allowance; written quote needed</x:v>
      </x:c>
      <x:c r="K83" s="36" t="str">
        <x:v>ALLOW</x:v>
      </x:c>
      <x:c r="L83" s="37" t="n">
        <x:f>ROUND(E83*F83,2)</x:f>
        <x:v>1152</x:v>
      </x:c>
      <x:c r="M83" s="37" t="n">
        <x:f>ROUND(E83*G83,2)</x:f>
        <x:v>1440</x:v>
      </x:c>
      <x:c r="N83" s="37" t="n">
        <x:f>ROUND(E83*I83,2)</x:f>
        <x:v>1800</x:v>
      </x:c>
      <x:c r="O83" s="18" t="str">
        <x:v>Printable transcripts Low/high are -20%/+25% rate sensitivity, not observed market range.</x:v>
      </x:c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48" customHeight="1">
      <x:c r="A84" s="1" t="str">
        <x:v>CNT-093</x:v>
      </x:c>
      <x:c r="B84" s="1" t="str">
        <x:v>Content production</x:v>
      </x:c>
      <x:c r="C84" s="18" t="str">
        <x:v>stock image, font and template license audit</x:v>
      </x:c>
      <x:c r="D84" s="18" t="str">
        <x:v>hour</x:v>
      </x:c>
      <x:c r="E84" s="32" t="n">
        <x:v>8</x:v>
      </x:c>
      <x:c r="F84" s="33" t="n">
        <x:v>60</x:v>
      </x:c>
      <x:c r="G84" s="33" t="n">
        <x:v>75</x:v>
      </x:c>
      <x:c r="H84" s="34" t="str">
        <x:v>one_time</x:v>
      </x:c>
      <x:c r="I84" s="33" t="n">
        <x:v>93.75</x:v>
      </x:c>
      <x:c r="J84" s="35" t="str">
        <x:v>Planning allowance; written quote needed</x:v>
      </x:c>
      <x:c r="K84" s="36" t="str">
        <x:v>ALLOW</x:v>
      </x:c>
      <x:c r="L84" s="37" t="n">
        <x:f>ROUND(E84*F84,2)</x:f>
        <x:v>480</x:v>
      </x:c>
      <x:c r="M84" s="37" t="n">
        <x:f>ROUND(E84*G84,2)</x:f>
        <x:v>600</x:v>
      </x:c>
      <x:c r="N84" s="37" t="n">
        <x:f>ROUND(E84*I84,2)</x:f>
        <x:v>750</x:v>
      </x:c>
      <x:c r="O84" s="18" t="str">
        <x:v>Stock license audit Low/high are -20%/+25% rate sensitivity, not observed market range.</x:v>
      </x:c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48" customHeight="1">
      <x:c r="A85" s="1" t="str">
        <x:v>CNT-094</x:v>
      </x:c>
      <x:c r="B85" s="1" t="str">
        <x:v>Content production</x:v>
      </x:c>
      <x:c r="C85" s="18" t="str">
        <x:v>content analytics and outcome measurement setup</x:v>
      </x:c>
      <x:c r="D85" s="18" t="str">
        <x:v>hour</x:v>
      </x:c>
      <x:c r="E85" s="32" t="n">
        <x:v>24</x:v>
      </x:c>
      <x:c r="F85" s="33" t="n">
        <x:v>80</x:v>
      </x:c>
      <x:c r="G85" s="33" t="n">
        <x:v>100</x:v>
      </x:c>
      <x:c r="H85" s="34" t="str">
        <x:v>one_time</x:v>
      </x:c>
      <x:c r="I85" s="33" t="n">
        <x:v>125</x:v>
      </x:c>
      <x:c r="J85" s="35" t="str">
        <x:v>Planning allowance; written quote needed</x:v>
      </x:c>
      <x:c r="K85" s="36" t="str">
        <x:v>ALLOW</x:v>
      </x:c>
      <x:c r="L85" s="37" t="n">
        <x:f>ROUND(E85*F85,2)</x:f>
        <x:v>1920</x:v>
      </x:c>
      <x:c r="M85" s="37" t="n">
        <x:f>ROUND(E85*G85,2)</x:f>
        <x:v>2400</x:v>
      </x:c>
      <x:c r="N85" s="37" t="n">
        <x:f>ROUND(E85*I85,2)</x:f>
        <x:v>3000</x:v>
      </x:c>
      <x:c r="O85" s="18" t="str">
        <x:v>Content outcome measurement design Low/high are -20%/+25% rate sensitivity, not observed market range.</x:v>
      </x:c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48" customHeight="1">
      <x:c r="A86" s="1" t="str">
        <x:v>CNT-095</x:v>
      </x:c>
      <x:c r="B86" s="1" t="str">
        <x:v>Content production</x:v>
      </x:c>
      <x:c r="C86" s="18" t="str">
        <x:v>incident, correction and takedown process</x:v>
      </x:c>
      <x:c r="D86" s="18" t="str">
        <x:v>hour</x:v>
      </x:c>
      <x:c r="E86" s="32" t="n">
        <x:v>12</x:v>
      </x:c>
      <x:c r="F86" s="33" t="n">
        <x:v>100</x:v>
      </x:c>
      <x:c r="G86" s="33" t="n">
        <x:v>125</x:v>
      </x:c>
      <x:c r="H86" s="34" t="str">
        <x:v>one_time</x:v>
      </x:c>
      <x:c r="I86" s="33" t="n">
        <x:v>156.25</x:v>
      </x:c>
      <x:c r="J86" s="35" t="str">
        <x:v>Planning allowance; written quote needed</x:v>
      </x:c>
      <x:c r="K86" s="36" t="str">
        <x:v>ALLOW</x:v>
      </x:c>
      <x:c r="L86" s="37" t="n">
        <x:f>ROUND(E86*F86,2)</x:f>
        <x:v>1200</x:v>
      </x:c>
      <x:c r="M86" s="37" t="n">
        <x:f>ROUND(E86*G86,2)</x:f>
        <x:v>1500</x:v>
      </x:c>
      <x:c r="N86" s="37" t="n">
        <x:f>ROUND(E86*I86,2)</x:f>
        <x:v>1875</x:v>
      </x:c>
      <x:c r="O86" s="18" t="str">
        <x:v>Editorial correction process Low/high are -20%/+25% rate sensitivity, not observed market range.</x:v>
      </x:c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48" customHeight="1">
      <x:c r="A87" s="1" t="str">
        <x:v>MKT-001</x:v>
      </x:c>
      <x:c r="B87" s="1" t="str">
        <x:v>Marketing and sales</x:v>
      </x:c>
      <x:c r="C87" s="18" t="str">
        <x:v>Market and customer discovery interviews</x:v>
      </x:c>
      <x:c r="D87" s="18" t="str">
        <x:v>hour</x:v>
      </x:c>
      <x:c r="E87" s="32" t="n">
        <x:v>24</x:v>
      </x:c>
      <x:c r="F87" s="33" t="n">
        <x:v>80</x:v>
      </x:c>
      <x:c r="G87" s="33" t="n">
        <x:v>100</x:v>
      </x:c>
      <x:c r="H87" s="34" t="str">
        <x:v>one_time</x:v>
      </x:c>
      <x:c r="I87" s="33" t="n">
        <x:v>125</x:v>
      </x:c>
      <x:c r="J87" s="35" t="str">
        <x:v>Planning allowance; written quote needed</x:v>
      </x:c>
      <x:c r="K87" s="36" t="str">
        <x:v>ALLOW</x:v>
      </x:c>
      <x:c r="L87" s="37" t="n">
        <x:f>ROUND(E87*F87,2)</x:f>
        <x:v>1920</x:v>
      </x:c>
      <x:c r="M87" s="37" t="n">
        <x:f>ROUND(E87*G87,2)</x:f>
        <x:v>2400</x:v>
      </x:c>
      <x:c r="N87" s="37" t="n">
        <x:f>ROUND(E87*I87,2)</x:f>
        <x:v>3000</x:v>
      </x:c>
      <x:c r="O87" s="18" t="str">
        <x:v>One-location local launch plus partner prospecting; rates other than named subscriptions are allowances. Low/high are -20%/+25% rate sensitivity, not observed market range.</x:v>
      </x:c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48" customHeight="1">
      <x:c r="A88" s="1" t="str">
        <x:v>MKT-002</x:v>
      </x:c>
      <x:c r="B88" s="1" t="str">
        <x:v>Marketing and sales</x:v>
      </x:c>
      <x:c r="C88" s="18" t="str">
        <x:v>Local market and competitor scan</x:v>
      </x:c>
      <x:c r="D88" s="18" t="str">
        <x:v>hour</x:v>
      </x:c>
      <x:c r="E88" s="32" t="n">
        <x:v>24</x:v>
      </x:c>
      <x:c r="F88" s="33" t="n">
        <x:v>80</x:v>
      </x:c>
      <x:c r="G88" s="33" t="n">
        <x:v>100</x:v>
      </x:c>
      <x:c r="H88" s="34" t="str">
        <x:v>one_time</x:v>
      </x:c>
      <x:c r="I88" s="33" t="n">
        <x:v>125</x:v>
      </x:c>
      <x:c r="J88" s="35" t="str">
        <x:v>Planning allowance; written quote needed</x:v>
      </x:c>
      <x:c r="K88" s="36" t="str">
        <x:v>ALLOW</x:v>
      </x:c>
      <x:c r="L88" s="37" t="n">
        <x:f>ROUND(E88*F88,2)</x:f>
        <x:v>1920</x:v>
      </x:c>
      <x:c r="M88" s="37" t="n">
        <x:f>ROUND(E88*G88,2)</x:f>
        <x:v>2400</x:v>
      </x:c>
      <x:c r="N88" s="37" t="n">
        <x:f>ROUND(E88*I88,2)</x:f>
        <x:v>3000</x:v>
      </x:c>
      <x:c r="O88" s="18" t="str">
        <x:v>One-location local launch plus partner prospecting; rates other than named subscriptions are allowances. Low/high are -20%/+25% rate sensitivity, not observed market range.</x:v>
      </x:c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48" customHeight="1">
      <x:c r="A89" s="1" t="str">
        <x:v>MKT-003</x:v>
      </x:c>
      <x:c r="B89" s="1" t="str">
        <x:v>Marketing and sales</x:v>
      </x:c>
      <x:c r="C89" s="18" t="str">
        <x:v>Positioning and message architecture</x:v>
      </x:c>
      <x:c r="D89" s="18" t="str">
        <x:v>hour</x:v>
      </x:c>
      <x:c r="E89" s="32" t="n">
        <x:v>24</x:v>
      </x:c>
      <x:c r="F89" s="33" t="n">
        <x:v>100</x:v>
      </x:c>
      <x:c r="G89" s="33" t="n">
        <x:v>125</x:v>
      </x:c>
      <x:c r="H89" s="34" t="str">
        <x:v>one_time</x:v>
      </x:c>
      <x:c r="I89" s="33" t="n">
        <x:v>156.25</x:v>
      </x:c>
      <x:c r="J89" s="35" t="str">
        <x:v>Planning allowance; written quote needed</x:v>
      </x:c>
      <x:c r="K89" s="36" t="str">
        <x:v>ALLOW</x:v>
      </x:c>
      <x:c r="L89" s="37" t="n">
        <x:f>ROUND(E89*F89,2)</x:f>
        <x:v>2400</x:v>
      </x:c>
      <x:c r="M89" s="37" t="n">
        <x:f>ROUND(E89*G89,2)</x:f>
        <x:v>3000</x:v>
      </x:c>
      <x:c r="N89" s="37" t="n">
        <x:f>ROUND(E89*I89,2)</x:f>
        <x:v>3750</x:v>
      </x:c>
      <x:c r="O89" s="18" t="str">
        <x:v>One-location local launch plus partner prospecting; rates other than named subscriptions are allowances. Low/high are -20%/+25% rate sensitivity, not observed market range.</x:v>
      </x:c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48" customHeight="1">
      <x:c r="A90" s="1" t="str">
        <x:v>MKT-004</x:v>
      </x:c>
      <x:c r="B90" s="1" t="str">
        <x:v>Marketing and sales</x:v>
      </x:c>
      <x:c r="C90" s="18" t="str">
        <x:v>Audience and journey maps</x:v>
      </x:c>
      <x:c r="D90" s="18" t="str">
        <x:v>hour</x:v>
      </x:c>
      <x:c r="E90" s="32" t="n">
        <x:v>16</x:v>
      </x:c>
      <x:c r="F90" s="33" t="n">
        <x:v>80</x:v>
      </x:c>
      <x:c r="G90" s="33" t="n">
        <x:v>100</x:v>
      </x:c>
      <x:c r="H90" s="34" t="str">
        <x:v>one_time</x:v>
      </x:c>
      <x:c r="I90" s="33" t="n">
        <x:v>125</x:v>
      </x:c>
      <x:c r="J90" s="35" t="str">
        <x:v>Planning allowance; written quote needed</x:v>
      </x:c>
      <x:c r="K90" s="36" t="str">
        <x:v>ALLOW</x:v>
      </x:c>
      <x:c r="L90" s="37" t="n">
        <x:f>ROUND(E90*F90,2)</x:f>
        <x:v>1280</x:v>
      </x:c>
      <x:c r="M90" s="37" t="n">
        <x:f>ROUND(E90*G90,2)</x:f>
        <x:v>1600</x:v>
      </x:c>
      <x:c r="N90" s="37" t="n">
        <x:f>ROUND(E90*I90,2)</x:f>
        <x:v>2000</x:v>
      </x:c>
      <x:c r="O90" s="18" t="str">
        <x:v>One-location local launch plus partner prospecting; rates other than named subscriptions are allowances. Low/high are -20%/+25% rate sensitivity, not observed market range.</x:v>
      </x:c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48" customHeight="1">
      <x:c r="A91" s="1" t="str">
        <x:v>MKT-005</x:v>
      </x:c>
      <x:c r="B91" s="1" t="str">
        <x:v>Marketing and sales</x:v>
      </x:c>
      <x:c r="C91" s="18" t="str">
        <x:v>Annual marketing calendar</x:v>
      </x:c>
      <x:c r="D91" s="18" t="str">
        <x:v>hour</x:v>
      </x:c>
      <x:c r="E91" s="32" t="n">
        <x:v>16</x:v>
      </x:c>
      <x:c r="F91" s="33" t="n">
        <x:v>80</x:v>
      </x:c>
      <x:c r="G91" s="33" t="n">
        <x:v>100</x:v>
      </x:c>
      <x:c r="H91" s="34" t="str">
        <x:v>one_time</x:v>
      </x:c>
      <x:c r="I91" s="33" t="n">
        <x:v>125</x:v>
      </x:c>
      <x:c r="J91" s="35" t="str">
        <x:v>Planning allowance; written quote needed</x:v>
      </x:c>
      <x:c r="K91" s="36" t="str">
        <x:v>ALLOW</x:v>
      </x:c>
      <x:c r="L91" s="37" t="n">
        <x:f>ROUND(E91*F91,2)</x:f>
        <x:v>1280</x:v>
      </x:c>
      <x:c r="M91" s="37" t="n">
        <x:f>ROUND(E91*G91,2)</x:f>
        <x:v>1600</x:v>
      </x:c>
      <x:c r="N91" s="37" t="n">
        <x:f>ROUND(E91*I91,2)</x:f>
        <x:v>2000</x:v>
      </x:c>
      <x:c r="O91" s="18" t="str">
        <x:v>One-location local launch plus partner prospecting; rates other than named subscriptions are allowances. Low/high are -20%/+25% rate sensitivity, not observed market range.</x:v>
      </x:c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48" customHeight="1">
      <x:c r="A92" s="1" t="str">
        <x:v>MKT-006</x:v>
      </x:c>
      <x:c r="B92" s="1" t="str">
        <x:v>Marketing and sales</x:v>
      </x:c>
      <x:c r="C92" s="18" t="str">
        <x:v>Campaign budget and approval controls</x:v>
      </x:c>
      <x:c r="D92" s="18" t="str">
        <x:v>hour</x:v>
      </x:c>
      <x:c r="E92" s="32" t="n">
        <x:v>12</x:v>
      </x:c>
      <x:c r="F92" s="33" t="n">
        <x:v>80</x:v>
      </x:c>
      <x:c r="G92" s="33" t="n">
        <x:v>100</x:v>
      </x:c>
      <x:c r="H92" s="34" t="str">
        <x:v>one_time</x:v>
      </x:c>
      <x:c r="I92" s="33" t="n">
        <x:v>125</x:v>
      </x:c>
      <x:c r="J92" s="35" t="str">
        <x:v>Planning allowance; written quote needed</x:v>
      </x:c>
      <x:c r="K92" s="36" t="str">
        <x:v>ALLOW</x:v>
      </x:c>
      <x:c r="L92" s="37" t="n">
        <x:f>ROUND(E92*F92,2)</x:f>
        <x:v>960</x:v>
      </x:c>
      <x:c r="M92" s="37" t="n">
        <x:f>ROUND(E92*G92,2)</x:f>
        <x:v>1200</x:v>
      </x:c>
      <x:c r="N92" s="37" t="n">
        <x:f>ROUND(E92*I92,2)</x:f>
        <x:v>1500</x:v>
      </x:c>
      <x:c r="O92" s="18" t="str">
        <x:v>One-location local launch plus partner prospecting; rates other than named subscriptions are allowances. Low/high are -20%/+25% rate sensitivity, not observed market range.</x:v>
      </x:c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48" customHeight="1">
      <x:c r="A93" s="1" t="str">
        <x:v>MKT-007</x:v>
      </x:c>
      <x:c r="B93" s="1" t="str">
        <x:v>Marketing and sales</x:v>
      </x:c>
      <x:c r="C93" s="18" t="str">
        <x:v>Fractional marketing director</x:v>
      </x:c>
      <x:c r="D93" s="18" t="str">
        <x:v>hour</x:v>
      </x:c>
      <x:c r="E93" s="32" t="n">
        <x:v>240</x:v>
      </x:c>
      <x:c r="F93" s="33" t="n">
        <x:v>100</x:v>
      </x:c>
      <x:c r="G93" s="33" t="n">
        <x:v>125</x:v>
      </x:c>
      <x:c r="H93" s="34" t="str">
        <x:v>recurring</x:v>
      </x:c>
      <x:c r="I93" s="33" t="n">
        <x:v>156.25</x:v>
      </x:c>
      <x:c r="J93" s="35" t="str">
        <x:v>Planning allowance; written quote needed</x:v>
      </x:c>
      <x:c r="K93" s="36" t="str">
        <x:v>ALLOW</x:v>
      </x:c>
      <x:c r="L93" s="37" t="n">
        <x:f>ROUND(E93*F93,2)</x:f>
        <x:v>24000</x:v>
      </x:c>
      <x:c r="M93" s="37" t="n">
        <x:f>ROUND(E93*G93,2)</x:f>
        <x:v>30000</x:v>
      </x:c>
      <x:c r="N93" s="37" t="n">
        <x:f>ROUND(E93*I93,2)</x:f>
        <x:v>37500</x:v>
      </x:c>
      <x:c r="O93" s="18" t="str">
        <x:v>One-location local launch plus partner prospecting; rates other than named subscriptions are allowances. Low/high are -20%/+25% rate sensitivity, not observed market range.</x:v>
      </x:c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48" customHeight="1">
      <x:c r="A94" s="1" t="str">
        <x:v>MKT-012</x:v>
      </x:c>
      <x:c r="B94" s="1" t="str">
        <x:v>Marketing and sales</x:v>
      </x:c>
      <x:c r="C94" s="18" t="str">
        <x:v>Photographer</x:v>
      </x:c>
      <x:c r="D94" s="18" t="str">
        <x:v>photo session</x:v>
      </x:c>
      <x:c r="E94" s="32" t="n">
        <x:v>4</x:v>
      </x:c>
      <x:c r="F94" s="33" t="n">
        <x:v>1200</x:v>
      </x:c>
      <x:c r="G94" s="33" t="n">
        <x:v>1500</x:v>
      </x:c>
      <x:c r="H94" s="34" t="str">
        <x:v>one_time</x:v>
      </x:c>
      <x:c r="I94" s="33" t="n">
        <x:v>1875</x:v>
      </x:c>
      <x:c r="J94" s="35" t="str">
        <x:v>Planning allowance; written quote needed</x:v>
      </x:c>
      <x:c r="K94" s="36" t="str">
        <x:v>ALLOW</x:v>
      </x:c>
      <x:c r="L94" s="37" t="n">
        <x:f>ROUND(E94*F94,2)</x:f>
        <x:v>4800</x:v>
      </x:c>
      <x:c r="M94" s="37" t="n">
        <x:f>ROUND(E94*G94,2)</x:f>
        <x:v>6000</x:v>
      </x:c>
      <x:c r="N94" s="37" t="n">
        <x:f>ROUND(E94*I94,2)</x:f>
        <x:v>7500</x:v>
      </x:c>
      <x:c r="O94" s="18" t="str">
        <x:v>One-location local launch plus partner prospecting; rates other than named subscriptions are allowances. Low/high are -20%/+25% rate sensitivity, not observed market range.</x:v>
      </x:c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48" customHeight="1">
      <x:c r="A95" s="1" t="str">
        <x:v>MKT-016</x:v>
      </x:c>
      <x:c r="B95" s="1" t="str">
        <x:v>Marketing and sales</x:v>
      </x:c>
      <x:c r="C95" s="18" t="str">
        <x:v>Community/partner outreach representative</x:v>
      </x:c>
      <x:c r="D95" s="18" t="str">
        <x:v>outreach hour</x:v>
      </x:c>
      <x:c r="E95" s="32" t="n">
        <x:v>240</x:v>
      </x:c>
      <x:c r="F95" s="33" t="n">
        <x:v>32</x:v>
      </x:c>
      <x:c r="G95" s="33" t="n">
        <x:v>40</x:v>
      </x:c>
      <x:c r="H95" s="34" t="str">
        <x:v>recurring</x:v>
      </x:c>
      <x:c r="I95" s="33" t="n">
        <x:v>50</x:v>
      </x:c>
      <x:c r="J95" s="35" t="str">
        <x:v>Planning allowance; written quote needed</x:v>
      </x:c>
      <x:c r="K95" s="36" t="str">
        <x:v>ALLOW</x:v>
      </x:c>
      <x:c r="L95" s="37" t="n">
        <x:f>ROUND(E95*F95,2)</x:f>
        <x:v>7680</x:v>
      </x:c>
      <x:c r="M95" s="37" t="n">
        <x:f>ROUND(E95*G95,2)</x:f>
        <x:v>9600</x:v>
      </x:c>
      <x:c r="N95" s="37" t="n">
        <x:f>ROUND(E95*I95,2)</x:f>
        <x:v>12000</x:v>
      </x:c>
      <x:c r="O95" s="18" t="str">
        <x:v>One-location local launch plus partner prospecting; rates other than named subscriptions are allowances. Low/high are -20%/+25% rate sensitivity, not observed market range.</x:v>
      </x:c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48" customHeight="1">
      <x:c r="A96" s="1" t="str">
        <x:v>MKT-017</x:v>
      </x:c>
      <x:c r="B96" s="1" t="str">
        <x:v>Marketing and sales</x:v>
      </x:c>
      <x:c r="C96" s="18" t="str">
        <x:v>Brand asset inventory and source-of-truth cleanup</x:v>
      </x:c>
      <x:c r="D96" s="18" t="str">
        <x:v>hour</x:v>
      </x:c>
      <x:c r="E96" s="32" t="n">
        <x:v>16</x:v>
      </x:c>
      <x:c r="F96" s="33" t="n">
        <x:v>60</x:v>
      </x:c>
      <x:c r="G96" s="33" t="n">
        <x:v>75</x:v>
      </x:c>
      <x:c r="H96" s="34" t="str">
        <x:v>one_time</x:v>
      </x:c>
      <x:c r="I96" s="33" t="n">
        <x:v>93.75</x:v>
      </x:c>
      <x:c r="J96" s="35" t="str">
        <x:v>Planning allowance; written quote needed</x:v>
      </x:c>
      <x:c r="K96" s="36" t="str">
        <x:v>ALLOW</x:v>
      </x:c>
      <x:c r="L96" s="37" t="n">
        <x:f>ROUND(E96*F96,2)</x:f>
        <x:v>960</x:v>
      </x:c>
      <x:c r="M96" s="37" t="n">
        <x:f>ROUND(E96*G96,2)</x:f>
        <x:v>1200</x:v>
      </x:c>
      <x:c r="N96" s="37" t="n">
        <x:f>ROUND(E96*I96,2)</x:f>
        <x:v>1500</x:v>
      </x:c>
      <x:c r="O96" s="18" t="str">
        <x:v>One-location local launch plus partner prospecting; rates other than named subscriptions are allowances. Low/high are -20%/+25% rate sensitivity, not observed market range.</x:v>
      </x:c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48" customHeight="1">
      <x:c r="A97" s="1" t="str">
        <x:v>MKT-018</x:v>
      </x:c>
      <x:c r="B97" s="1" t="str">
        <x:v>Marketing and sales</x:v>
      </x:c>
      <x:c r="C97" s="18" t="str">
        <x:v>Campaign creative brief</x:v>
      </x:c>
      <x:c r="D97" s="18" t="str">
        <x:v>hour</x:v>
      </x:c>
      <x:c r="E97" s="32" t="n">
        <x:v>16</x:v>
      </x:c>
      <x:c r="F97" s="33" t="n">
        <x:v>80</x:v>
      </x:c>
      <x:c r="G97" s="33" t="n">
        <x:v>100</x:v>
      </x:c>
      <x:c r="H97" s="34" t="str">
        <x:v>one_time</x:v>
      </x:c>
      <x:c r="I97" s="33" t="n">
        <x:v>125</x:v>
      </x:c>
      <x:c r="J97" s="35" t="str">
        <x:v>Planning allowance; written quote needed</x:v>
      </x:c>
      <x:c r="K97" s="36" t="str">
        <x:v>ALLOW</x:v>
      </x:c>
      <x:c r="L97" s="37" t="n">
        <x:f>ROUND(E97*F97,2)</x:f>
        <x:v>1280</x:v>
      </x:c>
      <x:c r="M97" s="37" t="n">
        <x:f>ROUND(E97*G97,2)</x:f>
        <x:v>1600</x:v>
      </x:c>
      <x:c r="N97" s="37" t="n">
        <x:f>ROUND(E97*I97,2)</x:f>
        <x:v>2000</x:v>
      </x:c>
      <x:c r="O97" s="18" t="str">
        <x:v>One-location local launch plus partner prospecting; rates other than named subscriptions are allowances. Low/high are -20%/+25% rate sensitivity, not observed market range.</x:v>
      </x:c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48" customHeight="1">
      <x:c r="A98" s="1" t="str">
        <x:v>MKT-019</x:v>
      </x:c>
      <x:c r="B98" s="1" t="str">
        <x:v>Marketing and sales</x:v>
      </x:c>
      <x:c r="C98" s="18" t="str">
        <x:v>Family testimonial capture</x:v>
      </x:c>
      <x:c r="D98" s="18" t="str">
        <x:v>testimonial session</x:v>
      </x:c>
      <x:c r="E98" s="32" t="n">
        <x:v>4</x:v>
      </x:c>
      <x:c r="F98" s="33" t="n">
        <x:v>400</x:v>
      </x:c>
      <x:c r="G98" s="33" t="n">
        <x:v>500</x:v>
      </x:c>
      <x:c r="H98" s="34" t="str">
        <x:v>one_time</x:v>
      </x:c>
      <x:c r="I98" s="33" t="n">
        <x:v>625</x:v>
      </x:c>
      <x:c r="J98" s="35" t="str">
        <x:v>Planning allowance; written quote needed</x:v>
      </x:c>
      <x:c r="K98" s="36" t="str">
        <x:v>ALLOW</x:v>
      </x:c>
      <x:c r="L98" s="37" t="n">
        <x:f>ROUND(E98*F98,2)</x:f>
        <x:v>1600</x:v>
      </x:c>
      <x:c r="M98" s="37" t="n">
        <x:f>ROUND(E98*G98,2)</x:f>
        <x:v>2000</x:v>
      </x:c>
      <x:c r="N98" s="37" t="n">
        <x:f>ROUND(E98*I98,2)</x:f>
        <x:v>2500</x:v>
      </x:c>
      <x:c r="O98" s="18" t="str">
        <x:v>One-location local launch plus partner prospecting; rates other than named subscriptions are allowances. Low/high are -20%/+25% rate sensitivity, not observed market range.</x:v>
      </x:c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48" customHeight="1">
      <x:c r="A99" s="1" t="str">
        <x:v>MKT-020</x:v>
      </x:c>
      <x:c r="B99" s="1" t="str">
        <x:v>Marketing and sales</x:v>
      </x:c>
      <x:c r="C99" s="18" t="str">
        <x:v>Daycare director case study</x:v>
      </x:c>
      <x:c r="D99" s="18" t="str">
        <x:v>case study</x:v>
      </x:c>
      <x:c r="E99" s="32" t="n">
        <x:v>1</x:v>
      </x:c>
      <x:c r="F99" s="33" t="n">
        <x:v>800</x:v>
      </x:c>
      <x:c r="G99" s="33" t="n">
        <x:v>1000</x:v>
      </x:c>
      <x:c r="H99" s="34" t="str">
        <x:v>one_time</x:v>
      </x:c>
      <x:c r="I99" s="33" t="n">
        <x:v>1250</x:v>
      </x:c>
      <x:c r="J99" s="35" t="str">
        <x:v>Planning allowance; written quote needed</x:v>
      </x:c>
      <x:c r="K99" s="36" t="str">
        <x:v>ALLOW</x:v>
      </x:c>
      <x:c r="L99" s="37" t="n">
        <x:f>ROUND(E99*F99,2)</x:f>
        <x:v>800</x:v>
      </x:c>
      <x:c r="M99" s="37" t="n">
        <x:f>ROUND(E99*G99,2)</x:f>
        <x:v>1000</x:v>
      </x:c>
      <x:c r="N99" s="37" t="n">
        <x:f>ROUND(E99*I99,2)</x:f>
        <x:v>1250</x:v>
      </x:c>
      <x:c r="O99" s="18" t="str">
        <x:v>One-location local launch plus partner prospecting; rates other than named subscriptions are allowances. Low/high are -20%/+25% rate sensitivity, not observed market range.</x:v>
      </x:c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48" customHeight="1">
      <x:c r="A100" s="1" t="str">
        <x:v>MKT-021</x:v>
      </x:c>
      <x:c r="B100" s="1" t="str">
        <x:v>Marketing and sales</x:v>
      </x:c>
      <x:c r="C100" s="18" t="str">
        <x:v>Landing-page hero image set</x:v>
      </x:c>
      <x:c r="D100" s="18" t="str">
        <x:v>hour</x:v>
      </x:c>
      <x:c r="E100" s="32" t="n">
        <x:v>16</x:v>
      </x:c>
      <x:c r="F100" s="33" t="n">
        <x:v>80</x:v>
      </x:c>
      <x:c r="G100" s="33" t="n">
        <x:v>100</x:v>
      </x:c>
      <x:c r="H100" s="34" t="str">
        <x:v>one_time</x:v>
      </x:c>
      <x:c r="I100" s="33" t="n">
        <x:v>125</x:v>
      </x:c>
      <x:c r="J100" s="35" t="str">
        <x:v>Planning allowance; written quote needed</x:v>
      </x:c>
      <x:c r="K100" s="36" t="str">
        <x:v>ALLOW</x:v>
      </x:c>
      <x:c r="L100" s="37" t="n">
        <x:f>ROUND(E100*F100,2)</x:f>
        <x:v>1280</x:v>
      </x:c>
      <x:c r="M100" s="37" t="n">
        <x:f>ROUND(E100*G100,2)</x:f>
        <x:v>1600</x:v>
      </x:c>
      <x:c r="N100" s="37" t="n">
        <x:f>ROUND(E100*I100,2)</x:f>
        <x:v>2000</x:v>
      </x:c>
      <x:c r="O100" s="18" t="str">
        <x:v>One-location local launch plus partner prospecting; rates other than named subscriptions are allowances. Low/high are -20%/+25% rate sensitivity, not observed market range.</x:v>
      </x:c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48" customHeight="1">
      <x:c r="A101" s="1" t="str">
        <x:v>MKT-022</x:v>
      </x:c>
      <x:c r="B101" s="1" t="str">
        <x:v>Marketing and sales</x:v>
      </x:c>
      <x:c r="C101" s="18" t="str">
        <x:v>Ad copy and creative variants</x:v>
      </x:c>
      <x:c r="D101" s="18" t="str">
        <x:v>creative variant</x:v>
      </x:c>
      <x:c r="E101" s="32" t="n">
        <x:v>24</x:v>
      </x:c>
      <x:c r="F101" s="33" t="n">
        <x:v>120</x:v>
      </x:c>
      <x:c r="G101" s="33" t="n">
        <x:v>150</x:v>
      </x:c>
      <x:c r="H101" s="34" t="str">
        <x:v>one_time</x:v>
      </x:c>
      <x:c r="I101" s="33" t="n">
        <x:v>187.5</x:v>
      </x:c>
      <x:c r="J101" s="35" t="str">
        <x:v>Planning allowance; written quote needed</x:v>
      </x:c>
      <x:c r="K101" s="36" t="str">
        <x:v>ALLOW</x:v>
      </x:c>
      <x:c r="L101" s="37" t="n">
        <x:f>ROUND(E101*F101,2)</x:f>
        <x:v>2880</x:v>
      </x:c>
      <x:c r="M101" s="37" t="n">
        <x:f>ROUND(E101*G101,2)</x:f>
        <x:v>3600</x:v>
      </x:c>
      <x:c r="N101" s="37" t="n">
        <x:f>ROUND(E101*I101,2)</x:f>
        <x:v>4500</x:v>
      </x:c>
      <x:c r="O101" s="18" t="str">
        <x:v>One-location local launch plus partner prospecting; rates other than named subscriptions are allowances. Low/high are -20%/+25% rate sensitivity, not observed market range.</x:v>
      </x:c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48" customHeight="1">
      <x:c r="A102" s="1" t="str">
        <x:v>MKT-023</x:v>
      </x:c>
      <x:c r="B102" s="1" t="str">
        <x:v>Marketing and sales</x:v>
      </x:c>
      <x:c r="C102" s="18" t="str">
        <x:v>Printed flyer/postcard</x:v>
      </x:c>
      <x:c r="D102" s="18" t="str">
        <x:v>printed piece</x:v>
      </x:c>
      <x:c r="E102" s="32" t="n">
        <x:v>2000</x:v>
      </x:c>
      <x:c r="F102" s="33" t="n">
        <x:v>0.36</x:v>
      </x:c>
      <x:c r="G102" s="33" t="n">
        <x:v>0.45</x:v>
      </x:c>
      <x:c r="H102" s="34" t="str">
        <x:v>one_time</x:v>
      </x:c>
      <x:c r="I102" s="33" t="n">
        <x:v>0.5625</x:v>
      </x:c>
      <x:c r="J102" s="35" t="str">
        <x:v>Planning allowance; written quote needed</x:v>
      </x:c>
      <x:c r="K102" s="36" t="str">
        <x:v>ALLOW</x:v>
      </x:c>
      <x:c r="L102" s="37" t="n">
        <x:f>ROUND(E102*F102,2)</x:f>
        <x:v>720</x:v>
      </x:c>
      <x:c r="M102" s="37" t="n">
        <x:f>ROUND(E102*G102,2)</x:f>
        <x:v>900</x:v>
      </x:c>
      <x:c r="N102" s="37" t="n">
        <x:f>ROUND(E102*I102,2)</x:f>
        <x:v>1125</x:v>
      </x:c>
      <x:c r="O102" s="18" t="str">
        <x:v>One-location local launch plus partner prospecting; rates other than named subscriptions are allowances. Low/high are -20%/+25% rate sensitivity, not observed market range.</x:v>
      </x:c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48" customHeight="1">
      <x:c r="A103" s="1" t="str">
        <x:v>MKT-024</x:v>
      </x:c>
      <x:c r="B103" s="1" t="str">
        <x:v>Marketing and sales</x:v>
      </x:c>
      <x:c r="C103" s="18" t="str">
        <x:v>Sales presentation and partner leave-behind</x:v>
      </x:c>
      <x:c r="D103" s="18" t="str">
        <x:v>hour</x:v>
      </x:c>
      <x:c r="E103" s="32" t="n">
        <x:v>16</x:v>
      </x:c>
      <x:c r="F103" s="33" t="n">
        <x:v>80</x:v>
      </x:c>
      <x:c r="G103" s="33" t="n">
        <x:v>100</x:v>
      </x:c>
      <x:c r="H103" s="34" t="str">
        <x:v>one_time</x:v>
      </x:c>
      <x:c r="I103" s="33" t="n">
        <x:v>125</x:v>
      </x:c>
      <x:c r="J103" s="35" t="str">
        <x:v>Planning allowance; written quote needed</x:v>
      </x:c>
      <x:c r="K103" s="36" t="str">
        <x:v>ALLOW</x:v>
      </x:c>
      <x:c r="L103" s="37" t="n">
        <x:f>ROUND(E103*F103,2)</x:f>
        <x:v>1280</x:v>
      </x:c>
      <x:c r="M103" s="37" t="n">
        <x:f>ROUND(E103*G103,2)</x:f>
        <x:v>1600</x:v>
      </x:c>
      <x:c r="N103" s="37" t="n">
        <x:f>ROUND(E103*I103,2)</x:f>
        <x:v>2000</x:v>
      </x:c>
      <x:c r="O103" s="18" t="str">
        <x:v>One-location local launch plus partner prospecting; rates other than named subscriptions are allowances. Low/high are -20%/+25% rate sensitivity, not observed market range.</x:v>
      </x:c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48" customHeight="1">
      <x:c r="A104" s="1" t="str">
        <x:v>MKT-025</x:v>
      </x:c>
      <x:c r="B104" s="1" t="str">
        <x:v>Marketing and sales</x:v>
      </x:c>
      <x:c r="C104" s="18" t="str">
        <x:v>QR habit-card campaign pack</x:v>
      </x:c>
      <x:c r="D104" s="18" t="str">
        <x:v>hour</x:v>
      </x:c>
      <x:c r="E104" s="32" t="n">
        <x:v>16</x:v>
      </x:c>
      <x:c r="F104" s="33" t="n">
        <x:v>72</x:v>
      </x:c>
      <x:c r="G104" s="33" t="n">
        <x:v>90</x:v>
      </x:c>
      <x:c r="H104" s="34" t="str">
        <x:v>one_time</x:v>
      </x:c>
      <x:c r="I104" s="33" t="n">
        <x:v>112.5</x:v>
      </x:c>
      <x:c r="J104" s="35" t="str">
        <x:v>Planning allowance; written quote needed</x:v>
      </x:c>
      <x:c r="K104" s="36" t="str">
        <x:v>ALLOW</x:v>
      </x:c>
      <x:c r="L104" s="37" t="n">
        <x:f>ROUND(E104*F104,2)</x:f>
        <x:v>1152</x:v>
      </x:c>
      <x:c r="M104" s="37" t="n">
        <x:f>ROUND(E104*G104,2)</x:f>
        <x:v>1440</x:v>
      </x:c>
      <x:c r="N104" s="37" t="n">
        <x:f>ROUND(E104*I104,2)</x:f>
        <x:v>1800</x:v>
      </x:c>
      <x:c r="O104" s="18" t="str">
        <x:v>One-location local launch plus partner prospecting; rates other than named subscriptions are allowances. Low/high are -20%/+25% rate sensitivity, not observed market range.</x:v>
      </x:c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48" customHeight="1">
      <x:c r="A105" s="1" t="str">
        <x:v>MKT-026</x:v>
      </x:c>
      <x:c r="B105" s="1" t="str">
        <x:v>Marketing and sales</x:v>
      </x:c>
      <x:c r="C105" s="18" t="str">
        <x:v>Audience landing page copy and build</x:v>
      </x:c>
      <x:c r="D105" s="18" t="str">
        <x:v>copy hour</x:v>
      </x:c>
      <x:c r="E105" s="32" t="n">
        <x:v>32</x:v>
      </x:c>
      <x:c r="F105" s="33" t="n">
        <x:v>80</x:v>
      </x:c>
      <x:c r="G105" s="33" t="n">
        <x:v>100</x:v>
      </x:c>
      <x:c r="H105" s="34" t="str">
        <x:v>one_time</x:v>
      </x:c>
      <x:c r="I105" s="33" t="n">
        <x:v>125</x:v>
      </x:c>
      <x:c r="J105" s="35" t="str">
        <x:v>Planning allowance; written quote needed</x:v>
      </x:c>
      <x:c r="K105" s="36" t="str">
        <x:v>ALLOW</x:v>
      </x:c>
      <x:c r="L105" s="37" t="n">
        <x:f>ROUND(E105*F105,2)</x:f>
        <x:v>2560</x:v>
      </x:c>
      <x:c r="M105" s="37" t="n">
        <x:f>ROUND(E105*G105,2)</x:f>
        <x:v>3200</x:v>
      </x:c>
      <x:c r="N105" s="37" t="n">
        <x:f>ROUND(E105*I105,2)</x:f>
        <x:v>4000</x:v>
      </x:c>
      <x:c r="O105" s="18" t="str">
        <x:v>One-location local launch plus partner prospecting; rates other than named subscriptions are allowances. Low/high are -20%/+25% rate sensitivity, not observed market range.</x:v>
      </x:c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48" customHeight="1">
      <x:c r="A106" s="1" t="str">
        <x:v>MKT-027</x:v>
      </x:c>
      <x:c r="B106" s="1" t="str">
        <x:v>Marketing and sales</x:v>
      </x:c>
      <x:c r="C106" s="18" t="str">
        <x:v>Offer and pricing page</x:v>
      </x:c>
      <x:c r="D106" s="18" t="str">
        <x:v>copy hour</x:v>
      </x:c>
      <x:c r="E106" s="32" t="n">
        <x:v>16</x:v>
      </x:c>
      <x:c r="F106" s="33" t="n">
        <x:v>80</x:v>
      </x:c>
      <x:c r="G106" s="33" t="n">
        <x:v>100</x:v>
      </x:c>
      <x:c r="H106" s="34" t="str">
        <x:v>one_time</x:v>
      </x:c>
      <x:c r="I106" s="33" t="n">
        <x:v>125</x:v>
      </x:c>
      <x:c r="J106" s="35" t="str">
        <x:v>Planning allowance; written quote needed</x:v>
      </x:c>
      <x:c r="K106" s="36" t="str">
        <x:v>ALLOW</x:v>
      </x:c>
      <x:c r="L106" s="37" t="n">
        <x:f>ROUND(E106*F106,2)</x:f>
        <x:v>1280</x:v>
      </x:c>
      <x:c r="M106" s="37" t="n">
        <x:f>ROUND(E106*G106,2)</x:f>
        <x:v>1600</x:v>
      </x:c>
      <x:c r="N106" s="37" t="n">
        <x:f>ROUND(E106*I106,2)</x:f>
        <x:v>2000</x:v>
      </x:c>
      <x:c r="O106" s="18" t="str">
        <x:v>One-location local launch plus partner prospecting; rates other than named subscriptions are allowances. Low/high are -20%/+25% rate sensitivity, not observed market range.</x:v>
      </x:c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48" customHeight="1">
      <x:c r="A107" s="1" t="str">
        <x:v>MKT-029</x:v>
      </x:c>
      <x:c r="B107" s="1" t="str">
        <x:v>Marketing and sales</x:v>
      </x:c>
      <x:c r="C107" s="18" t="str">
        <x:v>SEO metadata and structured content</x:v>
      </x:c>
      <x:c r="D107" s="18" t="str">
        <x:v>hour</x:v>
      </x:c>
      <x:c r="E107" s="32" t="n">
        <x:v>16</x:v>
      </x:c>
      <x:c r="F107" s="33" t="n">
        <x:v>80</x:v>
      </x:c>
      <x:c r="G107" s="33" t="n">
        <x:v>100</x:v>
      </x:c>
      <x:c r="H107" s="34" t="str">
        <x:v>one_time</x:v>
      </x:c>
      <x:c r="I107" s="33" t="n">
        <x:v>125</x:v>
      </x:c>
      <x:c r="J107" s="35" t="str">
        <x:v>Planning allowance; written quote needed</x:v>
      </x:c>
      <x:c r="K107" s="36" t="str">
        <x:v>ALLOW</x:v>
      </x:c>
      <x:c r="L107" s="37" t="n">
        <x:f>ROUND(E107*F107,2)</x:f>
        <x:v>1280</x:v>
      </x:c>
      <x:c r="M107" s="37" t="n">
        <x:f>ROUND(E107*G107,2)</x:f>
        <x:v>1600</x:v>
      </x:c>
      <x:c r="N107" s="37" t="n">
        <x:f>ROUND(E107*I107,2)</x:f>
        <x:v>2000</x:v>
      </x:c>
      <x:c r="O107" s="18" t="str">
        <x:v>One-location local launch plus partner prospecting; rates other than named subscriptions are allowances. Low/high are -20%/+25% rate sensitivity, not observed market range.</x:v>
      </x:c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48" customHeight="1">
      <x:c r="A108" s="1" t="str">
        <x:v>MKT-030</x:v>
      </x:c>
      <x:c r="B108" s="1" t="str">
        <x:v>Marketing and sales</x:v>
      </x:c>
      <x:c r="C108" s="18" t="str">
        <x:v>Google Business Profile/local listing management</x:v>
      </x:c>
      <x:c r="D108" s="18" t="str">
        <x:v>hour</x:v>
      </x:c>
      <x:c r="E108" s="32" t="n">
        <x:v>24</x:v>
      </x:c>
      <x:c r="F108" s="33" t="n">
        <x:v>60</x:v>
      </x:c>
      <x:c r="G108" s="33" t="n">
        <x:v>75</x:v>
      </x:c>
      <x:c r="H108" s="34" t="str">
        <x:v>recurring</x:v>
      </x:c>
      <x:c r="I108" s="33" t="n">
        <x:v>93.75</x:v>
      </x:c>
      <x:c r="J108" s="35" t="str">
        <x:v>Planning allowance; written quote needed</x:v>
      </x:c>
      <x:c r="K108" s="36" t="str">
        <x:v>ALLOW</x:v>
      </x:c>
      <x:c r="L108" s="37" t="n">
        <x:f>ROUND(E108*F108,2)</x:f>
        <x:v>1440</x:v>
      </x:c>
      <x:c r="M108" s="37" t="n">
        <x:f>ROUND(E108*G108,2)</x:f>
        <x:v>1800</x:v>
      </x:c>
      <x:c r="N108" s="37" t="n">
        <x:f>ROUND(E108*I108,2)</x:f>
        <x:v>2250</x:v>
      </x:c>
      <x:c r="O108" s="18" t="str">
        <x:v>One-location local launch plus partner prospecting; rates other than named subscriptions are allowances. Low/high are -20%/+25% rate sensitivity, not observed market range.</x:v>
      </x:c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48" customHeight="1">
      <x:c r="A109" s="1" t="str">
        <x:v>MKT-031</x:v>
      </x:c>
      <x:c r="B109" s="1" t="str">
        <x:v>Marketing and sales</x:v>
      </x:c>
      <x:c r="C109" s="18" t="str">
        <x:v>Conversion tracking and attribution setup</x:v>
      </x:c>
      <x:c r="D109" s="18" t="str">
        <x:v>hour</x:v>
      </x:c>
      <x:c r="E109" s="32" t="n">
        <x:v>16</x:v>
      </x:c>
      <x:c r="F109" s="33" t="n">
        <x:v>80</x:v>
      </x:c>
      <x:c r="G109" s="33" t="n">
        <x:v>100</x:v>
      </x:c>
      <x:c r="H109" s="34" t="str">
        <x:v>one_time</x:v>
      </x:c>
      <x:c r="I109" s="33" t="n">
        <x:v>125</x:v>
      </x:c>
      <x:c r="J109" s="35" t="str">
        <x:v>Planning allowance; written quote needed</x:v>
      </x:c>
      <x:c r="K109" s="36" t="str">
        <x:v>ALLOW</x:v>
      </x:c>
      <x:c r="L109" s="37" t="n">
        <x:f>ROUND(E109*F109,2)</x:f>
        <x:v>1280</x:v>
      </x:c>
      <x:c r="M109" s="37" t="n">
        <x:f>ROUND(E109*G109,2)</x:f>
        <x:v>1600</x:v>
      </x:c>
      <x:c r="N109" s="37" t="n">
        <x:f>ROUND(E109*I109,2)</x:f>
        <x:v>2000</x:v>
      </x:c>
      <x:c r="O109" s="18" t="str">
        <x:v>One-location local launch plus partner prospecting; rates other than named subscriptions are allowances. Low/high are -20%/+25% rate sensitivity, not observed market range.</x:v>
      </x:c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48" customHeight="1">
      <x:c r="A110" s="1" t="str">
        <x:v>MKT-033</x:v>
      </x:c>
      <x:c r="B110" s="1" t="str">
        <x:v>Marketing and sales</x:v>
      </x:c>
      <x:c r="C110" s="18" t="str">
        <x:v>Paid search media spend</x:v>
      </x:c>
      <x:c r="D110" s="18" t="str">
        <x:v>month</x:v>
      </x:c>
      <x:c r="E110" s="32" t="n">
        <x:v>12</x:v>
      </x:c>
      <x:c r="F110" s="33" t="n">
        <x:v>1600</x:v>
      </x:c>
      <x:c r="G110" s="33" t="n">
        <x:v>2000</x:v>
      </x:c>
      <x:c r="H110" s="34" t="str">
        <x:v>recurring</x:v>
      </x:c>
      <x:c r="I110" s="33" t="n">
        <x:v>2500</x:v>
      </x:c>
      <x:c r="J110" s="35" t="str">
        <x:v>Planning allowance; written quote needed</x:v>
      </x:c>
      <x:c r="K110" s="36" t="str">
        <x:v>ALLOW</x:v>
      </x:c>
      <x:c r="L110" s="37" t="n">
        <x:f>ROUND(E110*F110,2)</x:f>
        <x:v>19200</x:v>
      </x:c>
      <x:c r="M110" s="37" t="n">
        <x:f>ROUND(E110*G110,2)</x:f>
        <x:v>24000</x:v>
      </x:c>
      <x:c r="N110" s="37" t="n">
        <x:f>ROUND(E110*I110,2)</x:f>
        <x:v>30000</x:v>
      </x:c>
      <x:c r="O110" s="18" t="str">
        <x:v>One-location local launch plus partner prospecting; rates other than named subscriptions are allowances. Low/high are -20%/+25% rate sensitivity, not observed market range.</x:v>
      </x:c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48" customHeight="1">
      <x:c r="A111" s="1" t="str">
        <x:v>MKT-034</x:v>
      </x:c>
      <x:c r="B111" s="1" t="str">
        <x:v>Marketing and sales</x:v>
      </x:c>
      <x:c r="C111" s="18" t="str">
        <x:v>Paid social media spend</x:v>
      </x:c>
      <x:c r="D111" s="18" t="str">
        <x:v>month</x:v>
      </x:c>
      <x:c r="E111" s="32" t="n">
        <x:v>12</x:v>
      </x:c>
      <x:c r="F111" s="33" t="n">
        <x:v>1600</x:v>
      </x:c>
      <x:c r="G111" s="33" t="n">
        <x:v>2000</x:v>
      </x:c>
      <x:c r="H111" s="34" t="str">
        <x:v>recurring</x:v>
      </x:c>
      <x:c r="I111" s="33" t="n">
        <x:v>2500</x:v>
      </x:c>
      <x:c r="J111" s="35" t="str">
        <x:v>Planning allowance; written quote needed</x:v>
      </x:c>
      <x:c r="K111" s="36" t="str">
        <x:v>ALLOW</x:v>
      </x:c>
      <x:c r="L111" s="37" t="n">
        <x:f>ROUND(E111*F111,2)</x:f>
        <x:v>19200</x:v>
      </x:c>
      <x:c r="M111" s="37" t="n">
        <x:f>ROUND(E111*G111,2)</x:f>
        <x:v>24000</x:v>
      </x:c>
      <x:c r="N111" s="37" t="n">
        <x:f>ROUND(E111*I111,2)</x:f>
        <x:v>30000</x:v>
      </x:c>
      <x:c r="O111" s="18" t="str">
        <x:v>One-location local launch plus partner prospecting; rates other than named subscriptions are allowances. Low/high are -20%/+25% rate sensitivity, not observed market range.</x:v>
      </x:c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48" customHeight="1">
      <x:c r="A112" s="1" t="str">
        <x:v>MKT-035</x:v>
      </x:c>
      <x:c r="B112" s="1" t="str">
        <x:v>Marketing and sales</x:v>
      </x:c>
      <x:c r="C112" s="18" t="str">
        <x:v>Retargeting media spend</x:v>
      </x:c>
      <x:c r="D112" s="18" t="str">
        <x:v>month</x:v>
      </x:c>
      <x:c r="E112" s="32" t="n">
        <x:v>12</x:v>
      </x:c>
      <x:c r="F112" s="33" t="n">
        <x:v>400</x:v>
      </x:c>
      <x:c r="G112" s="33" t="n">
        <x:v>500</x:v>
      </x:c>
      <x:c r="H112" s="34" t="str">
        <x:v>recurring</x:v>
      </x:c>
      <x:c r="I112" s="33" t="n">
        <x:v>625</x:v>
      </x:c>
      <x:c r="J112" s="35" t="str">
        <x:v>Planning allowance; written quote needed</x:v>
      </x:c>
      <x:c r="K112" s="36" t="str">
        <x:v>ALLOW</x:v>
      </x:c>
      <x:c r="L112" s="37" t="n">
        <x:f>ROUND(E112*F112,2)</x:f>
        <x:v>4800</x:v>
      </x:c>
      <x:c r="M112" s="37" t="n">
        <x:f>ROUND(E112*G112,2)</x:f>
        <x:v>6000</x:v>
      </x:c>
      <x:c r="N112" s="37" t="n">
        <x:f>ROUND(E112*I112,2)</x:f>
        <x:v>7500</x:v>
      </x:c>
      <x:c r="O112" s="18" t="str">
        <x:v>One-location local launch plus partner prospecting; rates other than named subscriptions are allowances. Low/high are -20%/+25% rate sensitivity, not observed market range.</x:v>
      </x:c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48" customHeight="1">
      <x:c r="A113" s="1" t="str">
        <x:v>MKT-036</x:v>
      </x:c>
      <x:c r="B113" s="1" t="str">
        <x:v>Marketing and sales</x:v>
      </x:c>
      <x:c r="C113" s="18" t="str">
        <x:v>Agency or freelancer media-management fee</x:v>
      </x:c>
      <x:c r="D113" s="18" t="str">
        <x:v>setup month</x:v>
      </x:c>
      <x:c r="E113" s="32" t="n">
        <x:v>1</x:v>
      </x:c>
      <x:c r="F113" s="33" t="n">
        <x:v>1200</x:v>
      </x:c>
      <x:c r="G113" s="33" t="n">
        <x:v>1200</x:v>
      </x:c>
      <x:c r="H113" s="34" t="str">
        <x:v>one_time</x:v>
      </x:c>
      <x:c r="I113" s="33" t="n">
        <x:v>1200</x:v>
      </x:c>
      <x:c r="J113" s="35" t="str">
        <x:v>Published rate × assumed quantity</x:v>
      </x:c>
      <x:c r="K113" s="36" t="str">
        <x:v>PPC</x:v>
      </x:c>
      <x:c r="L113" s="37" t="n">
        <x:f>ROUND(E113*F113,2)</x:f>
        <x:v>1200</x:v>
      </x:c>
      <x:c r="M113" s="37" t="n">
        <x:f>ROUND(E113*G113,2)</x:f>
        <x:v>1200</x:v>
      </x:c>
      <x:c r="N113" s="37" t="n">
        <x:f>ROUND(E113*I113,2)</x:f>
        <x:v>1200</x:v>
      </x:c>
      <x:c r="O113" s="18" t="str">
        <x:v>One-location local launch plus partner prospecting; rates other than named subscriptions are allowances.</x:v>
      </x:c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48" customHeight="1">
      <x:c r="A114" s="1" t="str">
        <x:v>MKT-038</x:v>
      </x:c>
      <x:c r="B114" s="1" t="str">
        <x:v>Marketing and sales</x:v>
      </x:c>
      <x:c r="C114" s="18" t="str">
        <x:v>Email marketing platform</x:v>
      </x:c>
      <x:c r="D114" s="18" t="str">
        <x:v>month</x:v>
      </x:c>
      <x:c r="E114" s="32" t="n">
        <x:v>12</x:v>
      </x:c>
      <x:c r="F114" s="33" t="n">
        <x:v>20</x:v>
      </x:c>
      <x:c r="G114" s="33" t="n">
        <x:v>20</x:v>
      </x:c>
      <x:c r="H114" s="34" t="str">
        <x:v>recurring</x:v>
      </x:c>
      <x:c r="I114" s="33" t="n">
        <x:v>20</x:v>
      </x:c>
      <x:c r="J114" s="35" t="str">
        <x:v>Published rate × assumed quantity</x:v>
      </x:c>
      <x:c r="K114" s="36" t="str">
        <x:v>MAIL</x:v>
      </x:c>
      <x:c r="L114" s="37" t="n">
        <x:f>ROUND(E114*F114,2)</x:f>
        <x:v>240</x:v>
      </x:c>
      <x:c r="M114" s="37" t="n">
        <x:f>ROUND(E114*G114,2)</x:f>
        <x:v>240</x:v>
      </x:c>
      <x:c r="N114" s="37" t="n">
        <x:f>ROUND(E114*I114,2)</x:f>
        <x:v>240</x:v>
      </x:c>
      <x:c r="O114" s="18" t="str">
        <x:v>One-location local launch plus partner prospecting; rates other than named subscriptions are allowances.</x:v>
      </x:c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48" customHeight="1">
      <x:c r="A115" s="1" t="str">
        <x:v>MKT-041</x:v>
      </x:c>
      <x:c r="B115" s="1" t="str">
        <x:v>Marketing and sales</x:v>
      </x:c>
      <x:c r="C115" s="18" t="str">
        <x:v>Newsletter/editorial production</x:v>
      </x:c>
      <x:c r="D115" s="18" t="str">
        <x:v>hour</x:v>
      </x:c>
      <x:c r="E115" s="32" t="n">
        <x:v>48</x:v>
      </x:c>
      <x:c r="F115" s="33" t="n">
        <x:v>60</x:v>
      </x:c>
      <x:c r="G115" s="33" t="n">
        <x:v>75</x:v>
      </x:c>
      <x:c r="H115" s="34" t="str">
        <x:v>recurring</x:v>
      </x:c>
      <x:c r="I115" s="33" t="n">
        <x:v>93.75</x:v>
      </x:c>
      <x:c r="J115" s="35" t="str">
        <x:v>Planning allowance; written quote needed</x:v>
      </x:c>
      <x:c r="K115" s="36" t="str">
        <x:v>ALLOW</x:v>
      </x:c>
      <x:c r="L115" s="37" t="n">
        <x:f>ROUND(E115*F115,2)</x:f>
        <x:v>2880</x:v>
      </x:c>
      <x:c r="M115" s="37" t="n">
        <x:f>ROUND(E115*G115,2)</x:f>
        <x:v>3600</x:v>
      </x:c>
      <x:c r="N115" s="37" t="n">
        <x:f>ROUND(E115*I115,2)</x:f>
        <x:v>4500</x:v>
      </x:c>
      <x:c r="O115" s="18" t="str">
        <x:v>One-location local launch plus partner prospecting; rates other than named subscriptions are allowances. Low/high are -20%/+25% rate sensitivity, not observed market range.</x:v>
      </x:c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48" customHeight="1">
      <x:c r="A116" s="1" t="str">
        <x:v>MKT-042</x:v>
      </x:c>
      <x:c r="B116" s="1" t="str">
        <x:v>Marketing and sales</x:v>
      </x:c>
      <x:c r="C116" s="18" t="str">
        <x:v>Referral program materials</x:v>
      </x:c>
      <x:c r="D116" s="18" t="str">
        <x:v>materials program</x:v>
      </x:c>
      <x:c r="E116" s="32" t="n">
        <x:v>1</x:v>
      </x:c>
      <x:c r="F116" s="33" t="n">
        <x:v>640</x:v>
      </x:c>
      <x:c r="G116" s="33" t="n">
        <x:v>800</x:v>
      </x:c>
      <x:c r="H116" s="34" t="str">
        <x:v>one_time</x:v>
      </x:c>
      <x:c r="I116" s="33" t="n">
        <x:v>1000</x:v>
      </x:c>
      <x:c r="J116" s="35" t="str">
        <x:v>Planning allowance; written quote needed</x:v>
      </x:c>
      <x:c r="K116" s="36" t="str">
        <x:v>ALLOW</x:v>
      </x:c>
      <x:c r="L116" s="37" t="n">
        <x:f>ROUND(E116*F116,2)</x:f>
        <x:v>640</x:v>
      </x:c>
      <x:c r="M116" s="37" t="n">
        <x:f>ROUND(E116*G116,2)</x:f>
        <x:v>800</x:v>
      </x:c>
      <x:c r="N116" s="37" t="n">
        <x:f>ROUND(E116*I116,2)</x:f>
        <x:v>1000</x:v>
      </x:c>
      <x:c r="O116" s="18" t="str">
        <x:v>One-location local launch plus partner prospecting; rates other than named subscriptions are allowances. Low/high are -20%/+25% rate sensitivity, not observed market range.</x:v>
      </x:c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48" customHeight="1">
      <x:c r="A117" s="1" t="str">
        <x:v>MKT-043</x:v>
      </x:c>
      <x:c r="B117" s="1" t="str">
        <x:v>Marketing and sales</x:v>
      </x:c>
      <x:c r="C117" s="18" t="str">
        <x:v>Daycare partner prospect list building</x:v>
      </x:c>
      <x:c r="D117" s="18" t="str">
        <x:v>hour</x:v>
      </x:c>
      <x:c r="E117" s="32" t="n">
        <x:v>24</x:v>
      </x:c>
      <x:c r="F117" s="33" t="n">
        <x:v>32</x:v>
      </x:c>
      <x:c r="G117" s="33" t="n">
        <x:v>40</x:v>
      </x:c>
      <x:c r="H117" s="34" t="str">
        <x:v>one_time</x:v>
      </x:c>
      <x:c r="I117" s="33" t="n">
        <x:v>50</x:v>
      </x:c>
      <x:c r="J117" s="35" t="str">
        <x:v>Planning allowance; written quote needed</x:v>
      </x:c>
      <x:c r="K117" s="36" t="str">
        <x:v>ALLOW</x:v>
      </x:c>
      <x:c r="L117" s="37" t="n">
        <x:f>ROUND(E117*F117,2)</x:f>
        <x:v>768</x:v>
      </x:c>
      <x:c r="M117" s="37" t="n">
        <x:f>ROUND(E117*G117,2)</x:f>
        <x:v>960</x:v>
      </x:c>
      <x:c r="N117" s="37" t="n">
        <x:f>ROUND(E117*I117,2)</x:f>
        <x:v>1200</x:v>
      </x:c>
      <x:c r="O117" s="18" t="str">
        <x:v>One-location local launch plus partner prospecting; rates other than named subscriptions are allowances. Low/high are -20%/+25% rate sensitivity, not observed market range.</x:v>
      </x:c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48" customHeight="1">
      <x:c r="A118" s="1" t="str">
        <x:v>MKT-044</x:v>
      </x:c>
      <x:c r="B118" s="1" t="str">
        <x:v>Marketing and sales</x:v>
      </x:c>
      <x:c r="C118" s="18" t="str">
        <x:v>Church partner prospect list building</x:v>
      </x:c>
      <x:c r="D118" s="18" t="str">
        <x:v>hour</x:v>
      </x:c>
      <x:c r="E118" s="32" t="n">
        <x:v>24</x:v>
      </x:c>
      <x:c r="F118" s="33" t="n">
        <x:v>32</x:v>
      </x:c>
      <x:c r="G118" s="33" t="n">
        <x:v>40</x:v>
      </x:c>
      <x:c r="H118" s="34" t="str">
        <x:v>one_time</x:v>
      </x:c>
      <x:c r="I118" s="33" t="n">
        <x:v>50</x:v>
      </x:c>
      <x:c r="J118" s="35" t="str">
        <x:v>Planning allowance; written quote needed</x:v>
      </x:c>
      <x:c r="K118" s="36" t="str">
        <x:v>ALLOW</x:v>
      </x:c>
      <x:c r="L118" s="37" t="n">
        <x:f>ROUND(E118*F118,2)</x:f>
        <x:v>768</x:v>
      </x:c>
      <x:c r="M118" s="37" t="n">
        <x:f>ROUND(E118*G118,2)</x:f>
        <x:v>960</x:v>
      </x:c>
      <x:c r="N118" s="37" t="n">
        <x:f>ROUND(E118*I118,2)</x:f>
        <x:v>1200</x:v>
      </x:c>
      <x:c r="O118" s="18" t="str">
        <x:v>One-location local launch plus partner prospecting; rates other than named subscriptions are allowances. Low/high are -20%/+25% rate sensitivity, not observed market range.</x:v>
      </x:c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48" customHeight="1">
      <x:c r="A119" s="1" t="str">
        <x:v>MKT-045</x:v>
      </x:c>
      <x:c r="B119" s="1" t="str">
        <x:v>Marketing and sales</x:v>
      </x:c>
      <x:c r="C119" s="18" t="str">
        <x:v>Outbound email/call sequence</x:v>
      </x:c>
      <x:c r="D119" s="18" t="str">
        <x:v>hour</x:v>
      </x:c>
      <x:c r="E119" s="32" t="n">
        <x:v>24</x:v>
      </x:c>
      <x:c r="F119" s="33" t="n">
        <x:v>60</x:v>
      </x:c>
      <x:c r="G119" s="33" t="n">
        <x:v>75</x:v>
      </x:c>
      <x:c r="H119" s="34" t="str">
        <x:v>one_time</x:v>
      </x:c>
      <x:c r="I119" s="33" t="n">
        <x:v>93.75</x:v>
      </x:c>
      <x:c r="J119" s="35" t="str">
        <x:v>Planning allowance; written quote needed</x:v>
      </x:c>
      <x:c r="K119" s="36" t="str">
        <x:v>ALLOW</x:v>
      </x:c>
      <x:c r="L119" s="37" t="n">
        <x:f>ROUND(E119*F119,2)</x:f>
        <x:v>1440</x:v>
      </x:c>
      <x:c r="M119" s="37" t="n">
        <x:f>ROUND(E119*G119,2)</x:f>
        <x:v>1800</x:v>
      </x:c>
      <x:c r="N119" s="37" t="n">
        <x:f>ROUND(E119*I119,2)</x:f>
        <x:v>2250</x:v>
      </x:c>
      <x:c r="O119" s="18" t="str">
        <x:v>One-location local launch plus partner prospecting; rates other than named subscriptions are allowances. Low/high are -20%/+25% rate sensitivity, not observed market range.</x:v>
      </x:c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48" customHeight="1">
      <x:c r="A120" s="1" t="str">
        <x:v>MKT-046</x:v>
      </x:c>
      <x:c r="B120" s="1" t="str">
        <x:v>Marketing and sales</x:v>
      </x:c>
      <x:c r="C120" s="18" t="str">
        <x:v>Partner discovery meeting</x:v>
      </x:c>
      <x:c r="D120" s="18" t="str">
        <x:v>hour</x:v>
      </x:c>
      <x:c r="E120" s="32" t="n">
        <x:v>48</x:v>
      </x:c>
      <x:c r="F120" s="33" t="n">
        <x:v>32</x:v>
      </x:c>
      <x:c r="G120" s="33" t="n">
        <x:v>40</x:v>
      </x:c>
      <x:c r="H120" s="34" t="str">
        <x:v>one_time</x:v>
      </x:c>
      <x:c r="I120" s="33" t="n">
        <x:v>50</x:v>
      </x:c>
      <x:c r="J120" s="35" t="str">
        <x:v>Planning allowance; written quote needed</x:v>
      </x:c>
      <x:c r="K120" s="36" t="str">
        <x:v>ALLOW</x:v>
      </x:c>
      <x:c r="L120" s="37" t="n">
        <x:f>ROUND(E120*F120,2)</x:f>
        <x:v>1536</x:v>
      </x:c>
      <x:c r="M120" s="37" t="n">
        <x:f>ROUND(E120*G120,2)</x:f>
        <x:v>1920</x:v>
      </x:c>
      <x:c r="N120" s="37" t="n">
        <x:f>ROUND(E120*I120,2)</x:f>
        <x:v>2400</x:v>
      </x:c>
      <x:c r="O120" s="18" t="str">
        <x:v>One-location local launch plus partner prospecting; rates other than named subscriptions are allowances. Low/high are -20%/+25% rate sensitivity, not observed market range.</x:v>
      </x:c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48" customHeight="1">
      <x:c r="A121" s="1" t="str">
        <x:v>MKT-047</x:v>
      </x:c>
      <x:c r="B121" s="1" t="str">
        <x:v>Marketing and sales</x:v>
      </x:c>
      <x:c r="C121" s="18" t="str">
        <x:v>On-site center/church demo</x:v>
      </x:c>
      <x:c r="D121" s="18" t="str">
        <x:v>hour</x:v>
      </x:c>
      <x:c r="E121" s="32" t="n">
        <x:v>32</x:v>
      </x:c>
      <x:c r="F121" s="33" t="n">
        <x:v>32</x:v>
      </x:c>
      <x:c r="G121" s="33" t="n">
        <x:v>40</x:v>
      </x:c>
      <x:c r="H121" s="34" t="str">
        <x:v>one_time</x:v>
      </x:c>
      <x:c r="I121" s="33" t="n">
        <x:v>50</x:v>
      </x:c>
      <x:c r="J121" s="35" t="str">
        <x:v>Planning allowance; written quote needed</x:v>
      </x:c>
      <x:c r="K121" s="36" t="str">
        <x:v>ALLOW</x:v>
      </x:c>
      <x:c r="L121" s="37" t="n">
        <x:f>ROUND(E121*F121,2)</x:f>
        <x:v>1024</x:v>
      </x:c>
      <x:c r="M121" s="37" t="n">
        <x:f>ROUND(E121*G121,2)</x:f>
        <x:v>1280</x:v>
      </x:c>
      <x:c r="N121" s="37" t="n">
        <x:f>ROUND(E121*I121,2)</x:f>
        <x:v>1600</x:v>
      </x:c>
      <x:c r="O121" s="18" t="str">
        <x:v>One-location local launch plus partner prospecting; rates other than named subscriptions are allowances. Low/high are -20%/+25% rate sensitivity, not observed market range.</x:v>
      </x:c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48" customHeight="1">
      <x:c r="A122" s="1" t="str">
        <x:v>MKT-048</x:v>
      </x:c>
      <x:c r="B122" s="1" t="str">
        <x:v>Marketing and sales</x:v>
      </x:c>
      <x:c r="C122" s="18" t="str">
        <x:v>Partner proposal and pricing configuration</x:v>
      </x:c>
      <x:c r="D122" s="18" t="str">
        <x:v>hour</x:v>
      </x:c>
      <x:c r="E122" s="32" t="n">
        <x:v>24</x:v>
      </x:c>
      <x:c r="F122" s="33" t="n">
        <x:v>60</x:v>
      </x:c>
      <x:c r="G122" s="33" t="n">
        <x:v>75</x:v>
      </x:c>
      <x:c r="H122" s="34" t="str">
        <x:v>one_time</x:v>
      </x:c>
      <x:c r="I122" s="33" t="n">
        <x:v>93.75</x:v>
      </x:c>
      <x:c r="J122" s="35" t="str">
        <x:v>Planning allowance; written quote needed</x:v>
      </x:c>
      <x:c r="K122" s="36" t="str">
        <x:v>ALLOW</x:v>
      </x:c>
      <x:c r="L122" s="37" t="n">
        <x:f>ROUND(E122*F122,2)</x:f>
        <x:v>1440</x:v>
      </x:c>
      <x:c r="M122" s="37" t="n">
        <x:f>ROUND(E122*G122,2)</x:f>
        <x:v>1800</x:v>
      </x:c>
      <x:c r="N122" s="37" t="n">
        <x:f>ROUND(E122*I122,2)</x:f>
        <x:v>2250</x:v>
      </x:c>
      <x:c r="O122" s="18" t="str">
        <x:v>One-location local launch plus partner prospecting; rates other than named subscriptions are allowances. Low/high are -20%/+25% rate sensitivity, not observed market range.</x:v>
      </x:c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48" customHeight="1">
      <x:c r="A123" s="1" t="str">
        <x:v>MKT-049</x:v>
      </x:c>
      <x:c r="B123" s="1" t="str">
        <x:v>Marketing and sales</x:v>
      </x:c>
      <x:c r="C123" s="18" t="str">
        <x:v>Partner onboarding materials and training</x:v>
      </x:c>
      <x:c r="D123" s="18" t="str">
        <x:v>hour</x:v>
      </x:c>
      <x:c r="E123" s="32" t="n">
        <x:v>24</x:v>
      </x:c>
      <x:c r="F123" s="33" t="n">
        <x:v>60</x:v>
      </x:c>
      <x:c r="G123" s="33" t="n">
        <x:v>75</x:v>
      </x:c>
      <x:c r="H123" s="34" t="str">
        <x:v>one_time</x:v>
      </x:c>
      <x:c r="I123" s="33" t="n">
        <x:v>93.75</x:v>
      </x:c>
      <x:c r="J123" s="35" t="str">
        <x:v>Planning allowance; written quote needed</x:v>
      </x:c>
      <x:c r="K123" s="36" t="str">
        <x:v>ALLOW</x:v>
      </x:c>
      <x:c r="L123" s="37" t="n">
        <x:f>ROUND(E123*F123,2)</x:f>
        <x:v>1440</x:v>
      </x:c>
      <x:c r="M123" s="37" t="n">
        <x:f>ROUND(E123*G123,2)</x:f>
        <x:v>1800</x:v>
      </x:c>
      <x:c r="N123" s="37" t="n">
        <x:f>ROUND(E123*I123,2)</x:f>
        <x:v>2250</x:v>
      </x:c>
      <x:c r="O123" s="18" t="str">
        <x:v>One-location local launch plus partner prospecting; rates other than named subscriptions are allowances. Low/high are -20%/+25% rate sensitivity, not observed market range.</x:v>
      </x:c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48" customHeight="1">
      <x:c r="A124" s="1" t="str">
        <x:v>MKT-051</x:v>
      </x:c>
      <x:c r="B124" s="1" t="str">
        <x:v>Marketing and sales</x:v>
      </x:c>
      <x:c r="C124" s="18" t="str">
        <x:v>Partner renewal and expansion campaign</x:v>
      </x:c>
      <x:c r="D124" s="18" t="str">
        <x:v>hour</x:v>
      </x:c>
      <x:c r="E124" s="32" t="n">
        <x:v>16</x:v>
      </x:c>
      <x:c r="F124" s="33" t="n">
        <x:v>60</x:v>
      </x:c>
      <x:c r="G124" s="33" t="n">
        <x:v>75</x:v>
      </x:c>
      <x:c r="H124" s="34" t="str">
        <x:v>one_time</x:v>
      </x:c>
      <x:c r="I124" s="33" t="n">
        <x:v>93.75</x:v>
      </x:c>
      <x:c r="J124" s="35" t="str">
        <x:v>Planning allowance; written quote needed</x:v>
      </x:c>
      <x:c r="K124" s="36" t="str">
        <x:v>ALLOW</x:v>
      </x:c>
      <x:c r="L124" s="37" t="n">
        <x:f>ROUND(E124*F124,2)</x:f>
        <x:v>960</x:v>
      </x:c>
      <x:c r="M124" s="37" t="n">
        <x:f>ROUND(E124*G124,2)</x:f>
        <x:v>1200</x:v>
      </x:c>
      <x:c r="N124" s="37" t="n">
        <x:f>ROUND(E124*I124,2)</x:f>
        <x:v>1500</x:v>
      </x:c>
      <x:c r="O124" s="18" t="str">
        <x:v>One-location local launch plus partner prospecting; rates other than named subscriptions are allowances. Low/high are -20%/+25% rate sensitivity, not observed market range.</x:v>
      </x:c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48" customHeight="1">
      <x:c r="A125" s="1" t="str">
        <x:v>MKT-052</x:v>
      </x:c>
      <x:c r="B125" s="1" t="str">
        <x:v>Marketing and sales</x:v>
      </x:c>
      <x:c r="C125" s="18" t="str">
        <x:v>Local family open house</x:v>
      </x:c>
      <x:c r="D125" s="18" t="str">
        <x:v>open house</x:v>
      </x:c>
      <x:c r="E125" s="32" t="n">
        <x:v>2</x:v>
      </x:c>
      <x:c r="F125" s="33" t="n">
        <x:v>1200</x:v>
      </x:c>
      <x:c r="G125" s="33" t="n">
        <x:v>1500</x:v>
      </x:c>
      <x:c r="H125" s="34" t="str">
        <x:v>one_time</x:v>
      </x:c>
      <x:c r="I125" s="33" t="n">
        <x:v>1875</x:v>
      </x:c>
      <x:c r="J125" s="35" t="str">
        <x:v>Planning allowance; written quote needed</x:v>
      </x:c>
      <x:c r="K125" s="36" t="str">
        <x:v>ALLOW</x:v>
      </x:c>
      <x:c r="L125" s="37" t="n">
        <x:f>ROUND(E125*F125,2)</x:f>
        <x:v>2400</x:v>
      </x:c>
      <x:c r="M125" s="37" t="n">
        <x:f>ROUND(E125*G125,2)</x:f>
        <x:v>3000</x:v>
      </x:c>
      <x:c r="N125" s="37" t="n">
        <x:f>ROUND(E125*I125,2)</x:f>
        <x:v>3750</x:v>
      </x:c>
      <x:c r="O125" s="18" t="str">
        <x:v>One-location local launch plus partner prospecting; rates other than named subscriptions are allowances. Low/high are -20%/+25% rate sensitivity, not observed market range.</x:v>
      </x:c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48" customHeight="1">
      <x:c r="A126" s="1" t="str">
        <x:v>MKT-053</x:v>
      </x:c>
      <x:c r="B126" s="1" t="str">
        <x:v>Marketing and sales</x:v>
      </x:c>
      <x:c r="C126" s="18" t="str">
        <x:v>Daycare/church conference booth or table</x:v>
      </x:c>
      <x:c r="D126" s="18" t="str">
        <x:v>booth/event</x:v>
      </x:c>
      <x:c r="E126" s="32" t="n">
        <x:v>1</x:v>
      </x:c>
      <x:c r="F126" s="33" t="n">
        <x:v>2000</x:v>
      </x:c>
      <x:c r="G126" s="33" t="n">
        <x:v>2500</x:v>
      </x:c>
      <x:c r="H126" s="34" t="str">
        <x:v>one_time</x:v>
      </x:c>
      <x:c r="I126" s="33" t="n">
        <x:v>3125</x:v>
      </x:c>
      <x:c r="J126" s="35" t="str">
        <x:v>Planning allowance; written quote needed</x:v>
      </x:c>
      <x:c r="K126" s="36" t="str">
        <x:v>ALLOW</x:v>
      </x:c>
      <x:c r="L126" s="37" t="n">
        <x:f>ROUND(E126*F126,2)</x:f>
        <x:v>2000</x:v>
      </x:c>
      <x:c r="M126" s="37" t="n">
        <x:f>ROUND(E126*G126,2)</x:f>
        <x:v>2500</x:v>
      </x:c>
      <x:c r="N126" s="37" t="n">
        <x:f>ROUND(E126*I126,2)</x:f>
        <x:v>3125</x:v>
      </x:c>
      <x:c r="O126" s="18" t="str">
        <x:v>One-location local launch plus partner prospecting; rates other than named subscriptions are allowances. Low/high are -20%/+25% rate sensitivity, not observed market range.</x:v>
      </x:c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48" customHeight="1">
      <x:c r="A127" s="1" t="str">
        <x:v>MKT-054</x:v>
      </x:c>
      <x:c r="B127" s="1" t="str">
        <x:v>Marketing and sales</x:v>
      </x:c>
      <x:c r="C127" s="18" t="str">
        <x:v>Community sponsorship</x:v>
      </x:c>
      <x:c r="D127" s="18" t="str">
        <x:v>sponsorship</x:v>
      </x:c>
      <x:c r="E127" s="32" t="n">
        <x:v>2</x:v>
      </x:c>
      <x:c r="F127" s="33" t="n">
        <x:v>800</x:v>
      </x:c>
      <x:c r="G127" s="33" t="n">
        <x:v>1000</x:v>
      </x:c>
      <x:c r="H127" s="34" t="str">
        <x:v>one_time</x:v>
      </x:c>
      <x:c r="I127" s="33" t="n">
        <x:v>1250</x:v>
      </x:c>
      <x:c r="J127" s="35" t="str">
        <x:v>Planning allowance; written quote needed</x:v>
      </x:c>
      <x:c r="K127" s="36" t="str">
        <x:v>ALLOW</x:v>
      </x:c>
      <x:c r="L127" s="37" t="n">
        <x:f>ROUND(E127*F127,2)</x:f>
        <x:v>1600</x:v>
      </x:c>
      <x:c r="M127" s="37" t="n">
        <x:f>ROUND(E127*G127,2)</x:f>
        <x:v>2000</x:v>
      </x:c>
      <x:c r="N127" s="37" t="n">
        <x:f>ROUND(E127*I127,2)</x:f>
        <x:v>2500</x:v>
      </x:c>
      <x:c r="O127" s="18" t="str">
        <x:v>One-location local launch plus partner prospecting; rates other than named subscriptions are allowances. Low/high are -20%/+25% rate sensitivity, not observed market range.</x:v>
      </x:c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48" customHeight="1">
      <x:c r="A128" s="1" t="str">
        <x:v>MKT-055</x:v>
      </x:c>
      <x:c r="B128" s="1" t="str">
        <x:v>Marketing and sales</x:v>
      </x:c>
      <x:c r="C128" s="18" t="str">
        <x:v>Event staffing and setup</x:v>
      </x:c>
      <x:c r="D128" s="18" t="str">
        <x:v>event hour</x:v>
      </x:c>
      <x:c r="E128" s="32" t="n">
        <x:v>48</x:v>
      </x:c>
      <x:c r="F128" s="33" t="n">
        <x:v>20</x:v>
      </x:c>
      <x:c r="G128" s="33" t="n">
        <x:v>25</x:v>
      </x:c>
      <x:c r="H128" s="34" t="str">
        <x:v>one_time</x:v>
      </x:c>
      <x:c r="I128" s="33" t="n">
        <x:v>31.25</x:v>
      </x:c>
      <x:c r="J128" s="35" t="str">
        <x:v>Planning allowance; written quote needed</x:v>
      </x:c>
      <x:c r="K128" s="36" t="str">
        <x:v>ALLOW</x:v>
      </x:c>
      <x:c r="L128" s="37" t="n">
        <x:f>ROUND(E128*F128,2)</x:f>
        <x:v>960</x:v>
      </x:c>
      <x:c r="M128" s="37" t="n">
        <x:f>ROUND(E128*G128,2)</x:f>
        <x:v>1200</x:v>
      </x:c>
      <x:c r="N128" s="37" t="n">
        <x:f>ROUND(E128*I128,2)</x:f>
        <x:v>1500</x:v>
      </x:c>
      <x:c r="O128" s="18" t="str">
        <x:v>One-location local launch plus partner prospecting; rates other than named subscriptions are allowances. Low/high are -20%/+25% rate sensitivity, not observed market range.</x:v>
      </x:c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48" customHeight="1">
      <x:c r="A129" s="1" t="str">
        <x:v>MKT-056</x:v>
      </x:c>
      <x:c r="B129" s="1" t="str">
        <x:v>Marketing and sales</x:v>
      </x:c>
      <x:c r="C129" s="18" t="str">
        <x:v>Press/media outreach</x:v>
      </x:c>
      <x:c r="D129" s="18" t="str">
        <x:v>hour</x:v>
      </x:c>
      <x:c r="E129" s="32" t="n">
        <x:v>24</x:v>
      </x:c>
      <x:c r="F129" s="33" t="n">
        <x:v>60</x:v>
      </x:c>
      <x:c r="G129" s="33" t="n">
        <x:v>75</x:v>
      </x:c>
      <x:c r="H129" s="34" t="str">
        <x:v>one_time</x:v>
      </x:c>
      <x:c r="I129" s="33" t="n">
        <x:v>93.75</x:v>
      </x:c>
      <x:c r="J129" s="35" t="str">
        <x:v>Planning allowance; written quote needed</x:v>
      </x:c>
      <x:c r="K129" s="36" t="str">
        <x:v>ALLOW</x:v>
      </x:c>
      <x:c r="L129" s="37" t="n">
        <x:f>ROUND(E129*F129,2)</x:f>
        <x:v>1440</x:v>
      </x:c>
      <x:c r="M129" s="37" t="n">
        <x:f>ROUND(E129*G129,2)</x:f>
        <x:v>1800</x:v>
      </x:c>
      <x:c r="N129" s="37" t="n">
        <x:f>ROUND(E129*I129,2)</x:f>
        <x:v>2250</x:v>
      </x:c>
      <x:c r="O129" s="18" t="str">
        <x:v>One-location local launch plus partner prospecting; rates other than named subscriptions are allowances. Low/high are -20%/+25% rate sensitivity, not observed market range.</x:v>
      </x:c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48" customHeight="1">
      <x:c r="A130" s="1" t="str">
        <x:v>MKT-057</x:v>
      </x:c>
      <x:c r="B130" s="1" t="str">
        <x:v>Marketing and sales</x:v>
      </x:c>
      <x:c r="C130" s="18" t="str">
        <x:v>Press release and media kit</x:v>
      </x:c>
      <x:c r="D130" s="18" t="str">
        <x:v>hour</x:v>
      </x:c>
      <x:c r="E130" s="32" t="n">
        <x:v>16</x:v>
      </x:c>
      <x:c r="F130" s="33" t="n">
        <x:v>80</x:v>
      </x:c>
      <x:c r="G130" s="33" t="n">
        <x:v>100</x:v>
      </x:c>
      <x:c r="H130" s="34" t="str">
        <x:v>one_time</x:v>
      </x:c>
      <x:c r="I130" s="33" t="n">
        <x:v>125</x:v>
      </x:c>
      <x:c r="J130" s="35" t="str">
        <x:v>Planning allowance; written quote needed</x:v>
      </x:c>
      <x:c r="K130" s="36" t="str">
        <x:v>ALLOW</x:v>
      </x:c>
      <x:c r="L130" s="37" t="n">
        <x:f>ROUND(E130*F130,2)</x:f>
        <x:v>1280</x:v>
      </x:c>
      <x:c r="M130" s="37" t="n">
        <x:f>ROUND(E130*G130,2)</x:f>
        <x:v>1600</x:v>
      </x:c>
      <x:c r="N130" s="37" t="n">
        <x:f>ROUND(E130*I130,2)</x:f>
        <x:v>2000</x:v>
      </x:c>
      <x:c r="O130" s="18" t="str">
        <x:v>One-location local launch plus partner prospecting; rates other than named subscriptions are allowances. Low/high are -20%/+25% rate sensitivity, not observed market range.</x:v>
      </x:c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48" customHeight="1">
      <x:c r="A131" s="1" t="str">
        <x:v>MKT-058</x:v>
      </x:c>
      <x:c r="B131" s="1" t="str">
        <x:v>Marketing and sales</x:v>
      </x:c>
      <x:c r="C131" s="18" t="str">
        <x:v>Reputation and review response</x:v>
      </x:c>
      <x:c r="D131" s="18" t="str">
        <x:v>hour</x:v>
      </x:c>
      <x:c r="E131" s="32" t="n">
        <x:v>24</x:v>
      </x:c>
      <x:c r="F131" s="33" t="n">
        <x:v>32</x:v>
      </x:c>
      <x:c r="G131" s="33" t="n">
        <x:v>40</x:v>
      </x:c>
      <x:c r="H131" s="34" t="str">
        <x:v>recurring</x:v>
      </x:c>
      <x:c r="I131" s="33" t="n">
        <x:v>50</x:v>
      </x:c>
      <x:c r="J131" s="35" t="str">
        <x:v>Planning allowance; written quote needed</x:v>
      </x:c>
      <x:c r="K131" s="36" t="str">
        <x:v>ALLOW</x:v>
      </x:c>
      <x:c r="L131" s="37" t="n">
        <x:f>ROUND(E131*F131,2)</x:f>
        <x:v>768</x:v>
      </x:c>
      <x:c r="M131" s="37" t="n">
        <x:f>ROUND(E131*G131,2)</x:f>
        <x:v>960</x:v>
      </x:c>
      <x:c r="N131" s="37" t="n">
        <x:f>ROUND(E131*I131,2)</x:f>
        <x:v>1200</x:v>
      </x:c>
      <x:c r="O131" s="18" t="str">
        <x:v>One-location local launch plus partner prospecting; rates other than named subscriptions are allowances. Low/high are -20%/+25% rate sensitivity, not observed market range.</x:v>
      </x:c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48" customHeight="1">
      <x:c r="A132" s="1" t="str">
        <x:v>MKT-059</x:v>
      </x:c>
      <x:c r="B132" s="1" t="str">
        <x:v>Marketing and sales</x:v>
      </x:c>
      <x:c r="C132" s="18" t="str">
        <x:v>Funnel KPI dashboard</x:v>
      </x:c>
      <x:c r="D132" s="18" t="str">
        <x:v>hour</x:v>
      </x:c>
      <x:c r="E132" s="32" t="n">
        <x:v>24</x:v>
      </x:c>
      <x:c r="F132" s="33" t="n">
        <x:v>80</x:v>
      </x:c>
      <x:c r="G132" s="33" t="n">
        <x:v>100</x:v>
      </x:c>
      <x:c r="H132" s="34" t="str">
        <x:v>one_time</x:v>
      </x:c>
      <x:c r="I132" s="33" t="n">
        <x:v>125</x:v>
      </x:c>
      <x:c r="J132" s="35" t="str">
        <x:v>Planning allowance; written quote needed</x:v>
      </x:c>
      <x:c r="K132" s="36" t="str">
        <x:v>ALLOW</x:v>
      </x:c>
      <x:c r="L132" s="37" t="n">
        <x:f>ROUND(E132*F132,2)</x:f>
        <x:v>1920</x:v>
      </x:c>
      <x:c r="M132" s="37" t="n">
        <x:f>ROUND(E132*G132,2)</x:f>
        <x:v>2400</x:v>
      </x:c>
      <x:c r="N132" s="37" t="n">
        <x:f>ROUND(E132*I132,2)</x:f>
        <x:v>3000</x:v>
      </x:c>
      <x:c r="O132" s="18" t="str">
        <x:v>One-location local launch plus partner prospecting; rates other than named subscriptions are allowances. Low/high are -20%/+25% rate sensitivity, not observed market range.</x:v>
      </x:c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48" customHeight="1">
      <x:c r="A133" s="1" t="str">
        <x:v>MKT-063</x:v>
      </x:c>
      <x:c r="B133" s="1" t="str">
        <x:v>Marketing and sales</x:v>
      </x:c>
      <x:c r="C133" s="18" t="str">
        <x:v>Campaign postmortem</x:v>
      </x:c>
      <x:c r="D133" s="18" t="str">
        <x:v>hour</x:v>
      </x:c>
      <x:c r="E133" s="32" t="n">
        <x:v>24</x:v>
      </x:c>
      <x:c r="F133" s="33" t="n">
        <x:v>80</x:v>
      </x:c>
      <x:c r="G133" s="33" t="n">
        <x:v>100</x:v>
      </x:c>
      <x:c r="H133" s="34" t="str">
        <x:v>one_time</x:v>
      </x:c>
      <x:c r="I133" s="33" t="n">
        <x:v>125</x:v>
      </x:c>
      <x:c r="J133" s="35" t="str">
        <x:v>Planning allowance; written quote needed</x:v>
      </x:c>
      <x:c r="K133" s="36" t="str">
        <x:v>ALLOW</x:v>
      </x:c>
      <x:c r="L133" s="37" t="n">
        <x:f>ROUND(E133*F133,2)</x:f>
        <x:v>1920</x:v>
      </x:c>
      <x:c r="M133" s="37" t="n">
        <x:f>ROUND(E133*G133,2)</x:f>
        <x:v>2400</x:v>
      </x:c>
      <x:c r="N133" s="37" t="n">
        <x:f>ROUND(E133*I133,2)</x:f>
        <x:v>3000</x:v>
      </x:c>
      <x:c r="O133" s="18" t="str">
        <x:v>One-location local launch plus partner prospecting; rates other than named subscriptions are allowances. Low/high are -20%/+25% rate sensitivity, not observed market range.</x:v>
      </x:c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48" customHeight="1">
      <x:c r="A134" s="1" t="str">
        <x:v>MKT-064</x:v>
      </x:c>
      <x:c r="B134" s="1" t="str">
        <x:v>Marketing and sales</x:v>
      </x:c>
      <x:c r="C134" s="18" t="str">
        <x:v>Marketing consent and privacy review</x:v>
      </x:c>
      <x:c r="D134" s="18" t="str">
        <x:v>attorney hour</x:v>
      </x:c>
      <x:c r="E134" s="32" t="n">
        <x:v>8</x:v>
      </x:c>
      <x:c r="F134" s="33" t="n">
        <x:v>280</x:v>
      </x:c>
      <x:c r="G134" s="33" t="n">
        <x:v>350</x:v>
      </x:c>
      <x:c r="H134" s="34" t="str">
        <x:v>one_time</x:v>
      </x:c>
      <x:c r="I134" s="33" t="n">
        <x:v>437.5</x:v>
      </x:c>
      <x:c r="J134" s="35" t="str">
        <x:v>Planning allowance; written quote needed</x:v>
      </x:c>
      <x:c r="K134" s="36" t="str">
        <x:v>ALLOW</x:v>
      </x:c>
      <x:c r="L134" s="37" t="n">
        <x:f>ROUND(E134*F134,2)</x:f>
        <x:v>2240</x:v>
      </x:c>
      <x:c r="M134" s="37" t="n">
        <x:f>ROUND(E134*G134,2)</x:f>
        <x:v>2800</x:v>
      </x:c>
      <x:c r="N134" s="37" t="n">
        <x:f>ROUND(E134*I134,2)</x:f>
        <x:v>3500</x:v>
      </x:c>
      <x:c r="O134" s="18" t="str">
        <x:v>One-location local launch plus partner prospecting; rates other than named subscriptions are allowances. Low/high are -20%/+25% rate sensitivity, not observed market range.</x:v>
      </x:c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48" customHeight="1">
      <x:c r="A135" s="1" t="str">
        <x:v>MKT-065</x:v>
      </x:c>
      <x:c r="B135" s="1" t="str">
        <x:v>Marketing and sales</x:v>
      </x:c>
      <x:c r="C135" s="18" t="str">
        <x:v>Photo/video model and property release management</x:v>
      </x:c>
      <x:c r="D135" s="18" t="str">
        <x:v>hour</x:v>
      </x:c>
      <x:c r="E135" s="32" t="n">
        <x:v>16</x:v>
      </x:c>
      <x:c r="F135" s="33" t="n">
        <x:v>48</x:v>
      </x:c>
      <x:c r="G135" s="33" t="n">
        <x:v>60</x:v>
      </x:c>
      <x:c r="H135" s="34" t="str">
        <x:v>one_time</x:v>
      </x:c>
      <x:c r="I135" s="33" t="n">
        <x:v>75</x:v>
      </x:c>
      <x:c r="J135" s="35" t="str">
        <x:v>Planning allowance; written quote needed</x:v>
      </x:c>
      <x:c r="K135" s="36" t="str">
        <x:v>ALLOW</x:v>
      </x:c>
      <x:c r="L135" s="37" t="n">
        <x:f>ROUND(E135*F135,2)</x:f>
        <x:v>768</x:v>
      </x:c>
      <x:c r="M135" s="37" t="n">
        <x:f>ROUND(E135*G135,2)</x:f>
        <x:v>960</x:v>
      </x:c>
      <x:c r="N135" s="37" t="n">
        <x:f>ROUND(E135*I135,2)</x:f>
        <x:v>1200</x:v>
      </x:c>
      <x:c r="O135" s="18" t="str">
        <x:v>One-location local launch plus partner prospecting; rates other than named subscriptions are allowances. Low/high are -20%/+25% rate sensitivity, not observed market range.</x:v>
      </x:c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48" customHeight="1">
      <x:c r="A136" s="1" t="str">
        <x:v>MKT-066</x:v>
      </x:c>
      <x:c r="B136" s="1" t="str">
        <x:v>Marketing and sales</x:v>
      </x:c>
      <x:c r="C136" s="18" t="str">
        <x:v>Claims and endorsement substantiation</x:v>
      </x:c>
      <x:c r="D136" s="18" t="str">
        <x:v>attorney hour</x:v>
      </x:c>
      <x:c r="E136" s="32" t="n">
        <x:v>8</x:v>
      </x:c>
      <x:c r="F136" s="33" t="n">
        <x:v>280</x:v>
      </x:c>
      <x:c r="G136" s="33" t="n">
        <x:v>350</x:v>
      </x:c>
      <x:c r="H136" s="34" t="str">
        <x:v>one_time</x:v>
      </x:c>
      <x:c r="I136" s="33" t="n">
        <x:v>437.5</x:v>
      </x:c>
      <x:c r="J136" s="35" t="str">
        <x:v>Planning allowance; written quote needed</x:v>
      </x:c>
      <x:c r="K136" s="36" t="str">
        <x:v>ALLOW</x:v>
      </x:c>
      <x:c r="L136" s="37" t="n">
        <x:f>ROUND(E136*F136,2)</x:f>
        <x:v>2240</x:v>
      </x:c>
      <x:c r="M136" s="37" t="n">
        <x:f>ROUND(E136*G136,2)</x:f>
        <x:v>2800</x:v>
      </x:c>
      <x:c r="N136" s="37" t="n">
        <x:f>ROUND(E136*I136,2)</x:f>
        <x:v>3500</x:v>
      </x:c>
      <x:c r="O136" s="18" t="str">
        <x:v>One-location local launch plus partner prospecting; rates other than named subscriptions are allowances. Low/high are -20%/+25% rate sensitivity, not observed market range.</x:v>
      </x:c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48" customHeight="1">
      <x:c r="A137" s="1" t="str">
        <x:v>MKT-FEE-011</x:v>
      </x:c>
      <x:c r="B137" s="1" t="str">
        <x:v>Marketing and sales</x:v>
      </x:c>
      <x:c r="C137" s="18" t="str">
        <x:v>PPC management months 2–12</x:v>
      </x:c>
      <x:c r="D137" s="18" t="str">
        <x:v>month</x:v>
      </x:c>
      <x:c r="E137" s="32" t="n">
        <x:v>11</x:v>
      </x:c>
      <x:c r="F137" s="33" t="n">
        <x:v>750</x:v>
      </x:c>
      <x:c r="G137" s="33" t="n">
        <x:v>750</x:v>
      </x:c>
      <x:c r="H137" s="34" t="str">
        <x:v>recurring</x:v>
      </x:c>
      <x:c r="I137" s="33" t="n">
        <x:v>750</x:v>
      </x:c>
      <x:c r="J137" s="35" t="str">
        <x:v>Published rate × assumed quantity</x:v>
      </x:c>
      <x:c r="K137" s="36" t="str">
        <x:v>PPC</x:v>
      </x:c>
      <x:c r="L137" s="37" t="n">
        <x:f>ROUND(E137*F137,2)</x:f>
        <x:v>8250</x:v>
      </x:c>
      <x:c r="M137" s="37" t="n">
        <x:f>ROUND(E137*G137,2)</x:f>
        <x:v>8250</x:v>
      </x:c>
      <x:c r="N137" s="37" t="n">
        <x:f>ROUND(E137*I137,2)</x:f>
        <x:v>8250</x:v>
      </x:c>
      <x:c r="O137" s="18" t="str">
        <x:v>WebFX Lite management months 2–12, selected ad media $4,500/month.</x:v>
      </x:c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48" customHeight="1">
      <x:c r="A138" s="1" t="str">
        <x:v>OPS-019</x:v>
      </x:c>
      <x:c r="B138" s="1" t="str">
        <x:v>Daycare operations</x:v>
      </x:c>
      <x:c r="C138" s="18" t="str">
        <x:v>Background check fee</x:v>
      </x:c>
      <x:c r="D138" s="18" t="str">
        <x:v>FCSR registration</x:v>
      </x:c>
      <x:c r="E138" s="32" t="n">
        <x:v>15</x:v>
      </x:c>
      <x:c r="F138" s="33" t="n">
        <x:v>16.57</x:v>
      </x:c>
      <x:c r="G138" s="33" t="n">
        <x:v>16.57</x:v>
      </x:c>
      <x:c r="H138" s="34" t="str">
        <x:v>one_time</x:v>
      </x:c>
      <x:c r="I138" s="33" t="n">
        <x:v>16.57</x:v>
      </x:c>
      <x:c r="J138" s="35" t="str">
        <x:v>Published rate × assumed quantity</x:v>
      </x:c>
      <x:c r="K138" s="36" t="str">
        <x:v>FCSR</x:v>
      </x:c>
      <x:c r="L138" s="37" t="n">
        <x:f>ROUND(E138*F138,2)</x:f>
        <x:v>248.55</x:v>
      </x:c>
      <x:c r="M138" s="37" t="n">
        <x:f>ROUND(E138*G138,2)</x:f>
        <x:v>248.55</x:v>
      </x:c>
      <x:c r="N138" s="37" t="n">
        <x:f>ROUND(E138*I138,2)</x:f>
        <x:v>248.55</x:v>
      </x:c>
      <x:c r="O138" s="18" t="str">
        <x:v>One-site first-year planning quantity; allowance unless source explicitly states rate.</x:v>
      </x:c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48" customHeight="1">
      <x:c r="A139" s="1" t="str">
        <x:v>OPS-020</x:v>
      </x:c>
      <x:c r="B139" s="1" t="str">
        <x:v>Daycare operations</x:v>
      </x:c>
      <x:c r="C139" s="18" t="str">
        <x:v>First aid/CPR training fee</x:v>
      </x:c>
      <x:c r="D139" s="18" t="str">
        <x:v>person</x:v>
      </x:c>
      <x:c r="E139" s="32" t="n">
        <x:v>15</x:v>
      </x:c>
      <x:c r="F139" s="33" t="n">
        <x:v>88</x:v>
      </x:c>
      <x:c r="G139" s="33" t="n">
        <x:v>110</x:v>
      </x:c>
      <x:c r="H139" s="34" t="str">
        <x:v>one_time</x:v>
      </x:c>
      <x:c r="I139" s="33" t="n">
        <x:v>137.5</x:v>
      </x:c>
      <x:c r="J139" s="35" t="str">
        <x:v>Planning allowance; written quote needed</x:v>
      </x:c>
      <x:c r="K139" s="36" t="str">
        <x:v>ALLOW</x:v>
      </x:c>
      <x:c r="L139" s="37" t="n">
        <x:f>ROUND(E139*F139,2)</x:f>
        <x:v>1320</x:v>
      </x:c>
      <x:c r="M139" s="37" t="n">
        <x:f>ROUND(E139*G139,2)</x:f>
        <x:v>1650</x:v>
      </x:c>
      <x:c r="N139" s="37" t="n">
        <x:f>ROUND(E139*I139,2)</x:f>
        <x:v>2062.5</x:v>
      </x:c>
      <x:c r="O139" s="18" t="str">
        <x:v>One-site first-year planning quantity; allowance unless source explicitly states rate. Low/high are -20%/+25% rate sensitivity, not observed market range.</x:v>
      </x:c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48" customHeight="1">
      <x:c r="A140" s="1" t="str">
        <x:v>OPS-021</x:v>
      </x:c>
      <x:c r="B140" s="1" t="str">
        <x:v>Daycare operations</x:v>
      </x:c>
      <x:c r="C140" s="18" t="str">
        <x:v>Recruiting advertising</x:v>
      </x:c>
      <x:c r="D140" s="18" t="str">
        <x:v>month</x:v>
      </x:c>
      <x:c r="E140" s="32" t="n">
        <x:v>12</x:v>
      </x:c>
      <x:c r="F140" s="33" t="n">
        <x:v>120</x:v>
      </x:c>
      <x:c r="G140" s="33" t="n">
        <x:v>150</x:v>
      </x:c>
      <x:c r="H140" s="34" t="str">
        <x:v>recurring</x:v>
      </x:c>
      <x:c r="I140" s="33" t="n">
        <x:v>187.5</x:v>
      </x:c>
      <x:c r="J140" s="35" t="str">
        <x:v>Planning allowance; written quote needed</x:v>
      </x:c>
      <x:c r="K140" s="36" t="str">
        <x:v>ALLOW</x:v>
      </x:c>
      <x:c r="L140" s="37" t="n">
        <x:f>ROUND(E140*F140,2)</x:f>
        <x:v>1440</x:v>
      </x:c>
      <x:c r="M140" s="37" t="n">
        <x:f>ROUND(E140*G140,2)</x:f>
        <x:v>1800</x:v>
      </x:c>
      <x:c r="N140" s="37" t="n">
        <x:f>ROUND(E140*I140,2)</x:f>
        <x:v>2250</x:v>
      </x:c>
      <x:c r="O140" s="18" t="str">
        <x:v>One-site first-year planning quantity; allowance unless source explicitly states rate. Low/high are -20%/+25% rate sensitivity, not observed market range.</x:v>
      </x:c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48" customHeight="1">
      <x:c r="A141" s="1" t="str">
        <x:v>OPS-025</x:v>
      </x:c>
      <x:c r="B141" s="1" t="str">
        <x:v>Daycare operations</x:v>
      </x:c>
      <x:c r="C141" s="18" t="str">
        <x:v>Payroll processing fee</x:v>
      </x:c>
      <x:c r="D141" s="18" t="str">
        <x:v>month</x:v>
      </x:c>
      <x:c r="E141" s="32" t="n">
        <x:v>12</x:v>
      </x:c>
      <x:c r="F141" s="33" t="n">
        <x:v>139</x:v>
      </x:c>
      <x:c r="G141" s="33" t="n">
        <x:v>139</x:v>
      </x:c>
      <x:c r="H141" s="34" t="str">
        <x:v>recurring</x:v>
      </x:c>
      <x:c r="I141" s="33" t="n">
        <x:v>139</x:v>
      </x:c>
      <x:c r="J141" s="35" t="str">
        <x:v>Published rate × assumed quantity</x:v>
      </x:c>
      <x:c r="K141" s="36" t="str">
        <x:v>GUSTO</x:v>
      </x:c>
      <x:c r="L141" s="37" t="n">
        <x:f>ROUND(E141*F141,2)</x:f>
        <x:v>1668</x:v>
      </x:c>
      <x:c r="M141" s="37" t="n">
        <x:f>ROUND(E141*G141,2)</x:f>
        <x:v>1668</x:v>
      </x:c>
      <x:c r="N141" s="37" t="n">
        <x:f>ROUND(E141*I141,2)</x:f>
        <x:v>1668</x:v>
      </x:c>
      <x:c r="O141" s="18" t="str">
        <x:v>One operating site; actual contract/quotes replace allowances. Payroll Simple 49+6×15=139/month.</x:v>
      </x:c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48" customHeight="1">
      <x:c r="A142" s="1" t="str">
        <x:v>OPS-027</x:v>
      </x:c>
      <x:c r="B142" s="1" t="str">
        <x:v>Daycare operations</x:v>
      </x:c>
      <x:c r="C142" s="18" t="str">
        <x:v>Staff handbook update</x:v>
      </x:c>
      <x:c r="D142" s="18" t="str">
        <x:v>attorney hour</x:v>
      </x:c>
      <x:c r="E142" s="32" t="n">
        <x:v>8</x:v>
      </x:c>
      <x:c r="F142" s="33" t="n">
        <x:v>280</x:v>
      </x:c>
      <x:c r="G142" s="33" t="n">
        <x:v>350</x:v>
      </x:c>
      <x:c r="H142" s="34" t="str">
        <x:v>one_time</x:v>
      </x:c>
      <x:c r="I142" s="33" t="n">
        <x:v>437.5</x:v>
      </x:c>
      <x:c r="J142" s="35" t="str">
        <x:v>Planning allowance; written quote needed</x:v>
      </x:c>
      <x:c r="K142" s="36" t="str">
        <x:v>ALLOW</x:v>
      </x:c>
      <x:c r="L142" s="37" t="n">
        <x:f>ROUND(E142*F142,2)</x:f>
        <x:v>2240</x:v>
      </x:c>
      <x:c r="M142" s="37" t="n">
        <x:f>ROUND(E142*G142,2)</x:f>
        <x:v>2800</x:v>
      </x:c>
      <x:c r="N142" s="37" t="n">
        <x:f>ROUND(E142*I142,2)</x:f>
        <x:v>3500</x:v>
      </x:c>
      <x:c r="O142" s="18" t="str">
        <x:v>One-site first-year planning quantity; allowance unless source explicitly states rate. Low/high are -20%/+25% rate sensitivity, not observed market range.</x:v>
      </x:c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48" customHeight="1">
      <x:c r="A143" s="1" t="str">
        <x:v>OPS-028</x:v>
      </x:c>
      <x:c r="B143" s="1" t="str">
        <x:v>Daycare operations</x:v>
      </x:c>
      <x:c r="C143" s="18" t="str">
        <x:v>Milk</x:v>
      </x:c>
      <x:c r="D143" s="18" t="str">
        <x:v>child-day</x:v>
      </x:c>
      <x:c r="E143" s="32" t="n">
        <x:v>10400</x:v>
      </x:c>
      <x:c r="F143" s="33" t="n">
        <x:v>0.4</x:v>
      </x:c>
      <x:c r="G143" s="33" t="n">
        <x:v>0.5</x:v>
      </x:c>
      <x:c r="H143" s="34" t="str">
        <x:v>recurring</x:v>
      </x:c>
      <x:c r="I143" s="33" t="n">
        <x:v>0.625</x:v>
      </x:c>
      <x:c r="J143" s="35" t="str">
        <x:v>Planning allowance; written quote needed</x:v>
      </x:c>
      <x:c r="K143" s="36" t="str">
        <x:v>ALLOW</x:v>
      </x:c>
      <x:c r="L143" s="37" t="n">
        <x:f>ROUND(E143*F143,2)</x:f>
        <x:v>4160</x:v>
      </x:c>
      <x:c r="M143" s="37" t="n">
        <x:f>ROUND(E143*G143,2)</x:f>
        <x:v>5200</x:v>
      </x:c>
      <x:c r="N143" s="37" t="n">
        <x:f>ROUND(E143*I143,2)</x:f>
        <x:v>6500</x:v>
      </x:c>
      <x:c r="O143" s="18" t="str">
        <x:v>40 children × 260 days = 10,400 child-days. Supplies/equipment assume purchase until physical inventory is reconciled. Low/high are -20%/+25% rate sensitivity, not observed market range.</x:v>
      </x:c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48" customHeight="1">
      <x:c r="A144" s="1" t="str">
        <x:v>OPS-029</x:v>
      </x:c>
      <x:c r="B144" s="1" t="str">
        <x:v>Daycare operations</x:v>
      </x:c>
      <x:c r="C144" s="18" t="str">
        <x:v>Fresh fruit</x:v>
      </x:c>
      <x:c r="D144" s="18" t="str">
        <x:v>child-day</x:v>
      </x:c>
      <x:c r="E144" s="32" t="n">
        <x:v>10400</x:v>
      </x:c>
      <x:c r="F144" s="33" t="n">
        <x:v>0.48</x:v>
      </x:c>
      <x:c r="G144" s="33" t="n">
        <x:v>0.6</x:v>
      </x:c>
      <x:c r="H144" s="34" t="str">
        <x:v>recurring</x:v>
      </x:c>
      <x:c r="I144" s="33" t="n">
        <x:v>0.75</x:v>
      </x:c>
      <x:c r="J144" s="35" t="str">
        <x:v>Planning allowance; written quote needed</x:v>
      </x:c>
      <x:c r="K144" s="36" t="str">
        <x:v>ALLOW</x:v>
      </x:c>
      <x:c r="L144" s="37" t="n">
        <x:f>ROUND(E144*F144,2)</x:f>
        <x:v>4992</x:v>
      </x:c>
      <x:c r="M144" s="37" t="n">
        <x:f>ROUND(E144*G144,2)</x:f>
        <x:v>6240</x:v>
      </x:c>
      <x:c r="N144" s="37" t="n">
        <x:f>ROUND(E144*I144,2)</x:f>
        <x:v>7800</x:v>
      </x:c>
      <x:c r="O144" s="18" t="str">
        <x:v>40 children × 260 days = 10,400 child-days. Supplies/equipment assume purchase until physical inventory is reconciled. Low/high are -20%/+25% rate sensitivity, not observed market range.</x:v>
      </x:c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48" customHeight="1">
      <x:c r="A145" s="1" t="str">
        <x:v>OPS-030</x:v>
      </x:c>
      <x:c r="B145" s="1" t="str">
        <x:v>Daycare operations</x:v>
      </x:c>
      <x:c r="C145" s="18" t="str">
        <x:v>Fresh vegetables</x:v>
      </x:c>
      <x:c r="D145" s="18" t="str">
        <x:v>child-day</x:v>
      </x:c>
      <x:c r="E145" s="32" t="n">
        <x:v>10400</x:v>
      </x:c>
      <x:c r="F145" s="33" t="n">
        <x:v>0.4</x:v>
      </x:c>
      <x:c r="G145" s="33" t="n">
        <x:v>0.5</x:v>
      </x:c>
      <x:c r="H145" s="34" t="str">
        <x:v>recurring</x:v>
      </x:c>
      <x:c r="I145" s="33" t="n">
        <x:v>0.625</x:v>
      </x:c>
      <x:c r="J145" s="35" t="str">
        <x:v>Planning allowance; written quote needed</x:v>
      </x:c>
      <x:c r="K145" s="36" t="str">
        <x:v>ALLOW</x:v>
      </x:c>
      <x:c r="L145" s="37" t="n">
        <x:f>ROUND(E145*F145,2)</x:f>
        <x:v>4160</x:v>
      </x:c>
      <x:c r="M145" s="37" t="n">
        <x:f>ROUND(E145*G145,2)</x:f>
        <x:v>5200</x:v>
      </x:c>
      <x:c r="N145" s="37" t="n">
        <x:f>ROUND(E145*I145,2)</x:f>
        <x:v>6500</x:v>
      </x:c>
      <x:c r="O145" s="18" t="str">
        <x:v>40 children × 260 days = 10,400 child-days. Supplies/equipment assume purchase until physical inventory is reconciled. Low/high are -20%/+25% rate sensitivity, not observed market range.</x:v>
      </x:c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48" customHeight="1">
      <x:c r="A146" s="1" t="str">
        <x:v>OPS-031</x:v>
      </x:c>
      <x:c r="B146" s="1" t="str">
        <x:v>Daycare operations</x:v>
      </x:c>
      <x:c r="C146" s="18" t="str">
        <x:v>Protein</x:v>
      </x:c>
      <x:c r="D146" s="18" t="str">
        <x:v>child-day</x:v>
      </x:c>
      <x:c r="E146" s="32" t="n">
        <x:v>10400</x:v>
      </x:c>
      <x:c r="F146" s="33" t="n">
        <x:v>0.72</x:v>
      </x:c>
      <x:c r="G146" s="33" t="n">
        <x:v>0.9</x:v>
      </x:c>
      <x:c r="H146" s="34" t="str">
        <x:v>recurring</x:v>
      </x:c>
      <x:c r="I146" s="33" t="n">
        <x:v>1.125</x:v>
      </x:c>
      <x:c r="J146" s="35" t="str">
        <x:v>Planning allowance; written quote needed</x:v>
      </x:c>
      <x:c r="K146" s="36" t="str">
        <x:v>ALLOW</x:v>
      </x:c>
      <x:c r="L146" s="37" t="n">
        <x:f>ROUND(E146*F146,2)</x:f>
        <x:v>7488</x:v>
      </x:c>
      <x:c r="M146" s="37" t="n">
        <x:f>ROUND(E146*G146,2)</x:f>
        <x:v>9360</x:v>
      </x:c>
      <x:c r="N146" s="37" t="n">
        <x:f>ROUND(E146*I146,2)</x:f>
        <x:v>11700</x:v>
      </x:c>
      <x:c r="O146" s="18" t="str">
        <x:v>40 children × 260 days = 10,400 child-days. Supplies/equipment assume purchase until physical inventory is reconciled. Low/high are -20%/+25% rate sensitivity, not observed market range.</x:v>
      </x:c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48" customHeight="1">
      <x:c r="A147" s="1" t="str">
        <x:v>OPS-032</x:v>
      </x:c>
      <x:c r="B147" s="1" t="str">
        <x:v>Daycare operations</x:v>
      </x:c>
      <x:c r="C147" s="18" t="str">
        <x:v>Grains</x:v>
      </x:c>
      <x:c r="D147" s="18" t="str">
        <x:v>child-day</x:v>
      </x:c>
      <x:c r="E147" s="32" t="n">
        <x:v>10400</x:v>
      </x:c>
      <x:c r="F147" s="33" t="n">
        <x:v>0.36</x:v>
      </x:c>
      <x:c r="G147" s="33" t="n">
        <x:v>0.45</x:v>
      </x:c>
      <x:c r="H147" s="34" t="str">
        <x:v>recurring</x:v>
      </x:c>
      <x:c r="I147" s="33" t="n">
        <x:v>0.5625</x:v>
      </x:c>
      <x:c r="J147" s="35" t="str">
        <x:v>Planning allowance; written quote needed</x:v>
      </x:c>
      <x:c r="K147" s="36" t="str">
        <x:v>ALLOW</x:v>
      </x:c>
      <x:c r="L147" s="37" t="n">
        <x:f>ROUND(E147*F147,2)</x:f>
        <x:v>3744</x:v>
      </x:c>
      <x:c r="M147" s="37" t="n">
        <x:f>ROUND(E147*G147,2)</x:f>
        <x:v>4680</x:v>
      </x:c>
      <x:c r="N147" s="37" t="n">
        <x:f>ROUND(E147*I147,2)</x:f>
        <x:v>5850</x:v>
      </x:c>
      <x:c r="O147" s="18" t="str">
        <x:v>40 children × 260 days = 10,400 child-days. Supplies/equipment assume purchase until physical inventory is reconciled. Low/high are -20%/+25% rate sensitivity, not observed market range.</x:v>
      </x:c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48" customHeight="1">
      <x:c r="A148" s="1" t="str">
        <x:v>OPS-033</x:v>
      </x:c>
      <x:c r="B148" s="1" t="str">
        <x:v>Daycare operations</x:v>
      </x:c>
      <x:c r="C148" s="18" t="str">
        <x:v>Allergy-safe ingredients</x:v>
      </x:c>
      <x:c r="D148" s="18" t="str">
        <x:v>child-day</x:v>
      </x:c>
      <x:c r="E148" s="32" t="n">
        <x:v>10400</x:v>
      </x:c>
      <x:c r="F148" s="33" t="n">
        <x:v>0.12</x:v>
      </x:c>
      <x:c r="G148" s="33" t="n">
        <x:v>0.15</x:v>
      </x:c>
      <x:c r="H148" s="34" t="str">
        <x:v>recurring</x:v>
      </x:c>
      <x:c r="I148" s="33" t="n">
        <x:v>0.1875</x:v>
      </x:c>
      <x:c r="J148" s="35" t="str">
        <x:v>Planning allowance; written quote needed</x:v>
      </x:c>
      <x:c r="K148" s="36" t="str">
        <x:v>ALLOW</x:v>
      </x:c>
      <x:c r="L148" s="37" t="n">
        <x:f>ROUND(E148*F148,2)</x:f>
        <x:v>1248</x:v>
      </x:c>
      <x:c r="M148" s="37" t="n">
        <x:f>ROUND(E148*G148,2)</x:f>
        <x:v>1560</x:v>
      </x:c>
      <x:c r="N148" s="37" t="n">
        <x:f>ROUND(E148*I148,2)</x:f>
        <x:v>1950</x:v>
      </x:c>
      <x:c r="O148" s="18" t="str">
        <x:v>40 children × 260 days = 10,400 child-days. Supplies/equipment assume purchase until physical inventory is reconciled. Low/high are -20%/+25% rate sensitivity, not observed market range.</x:v>
      </x:c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48" customHeight="1">
      <x:c r="A149" s="1" t="str">
        <x:v>OPS-034</x:v>
      </x:c>
      <x:c r="B149" s="1" t="str">
        <x:v>Daycare operations</x:v>
      </x:c>
      <x:c r="C149" s="18" t="str">
        <x:v>Special-diet supplies</x:v>
      </x:c>
      <x:c r="D149" s="18" t="str">
        <x:v>child-day</x:v>
      </x:c>
      <x:c r="E149" s="32" t="n">
        <x:v>10400</x:v>
      </x:c>
      <x:c r="F149" s="33" t="n">
        <x:v>0.08</x:v>
      </x:c>
      <x:c r="G149" s="33" t="n">
        <x:v>0.1</x:v>
      </x:c>
      <x:c r="H149" s="34" t="str">
        <x:v>recurring</x:v>
      </x:c>
      <x:c r="I149" s="33" t="n">
        <x:v>0.125</x:v>
      </x:c>
      <x:c r="J149" s="35" t="str">
        <x:v>Planning allowance; written quote needed</x:v>
      </x:c>
      <x:c r="K149" s="36" t="str">
        <x:v>ALLOW</x:v>
      </x:c>
      <x:c r="L149" s="37" t="n">
        <x:f>ROUND(E149*F149,2)</x:f>
        <x:v>832</x:v>
      </x:c>
      <x:c r="M149" s="37" t="n">
        <x:f>ROUND(E149*G149,2)</x:f>
        <x:v>1040</x:v>
      </x:c>
      <x:c r="N149" s="37" t="n">
        <x:f>ROUND(E149*I149,2)</x:f>
        <x:v>1300</x:v>
      </x:c>
      <x:c r="O149" s="18" t="str">
        <x:v>40 children × 260 days = 10,400 child-days. Supplies/equipment assume purchase until physical inventory is reconciled. Low/high are -20%/+25% rate sensitivity, not observed market range.</x:v>
      </x:c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48" customHeight="1">
      <x:c r="A150" s="1" t="str">
        <x:v>OPS-035</x:v>
      </x:c>
      <x:c r="B150" s="1" t="str">
        <x:v>Daycare operations</x:v>
      </x:c>
      <x:c r="C150" s="18" t="str">
        <x:v>Meal service disposables</x:v>
      </x:c>
      <x:c r="D150" s="18" t="str">
        <x:v>child-day</x:v>
      </x:c>
      <x:c r="E150" s="32" t="n">
        <x:v>10400</x:v>
      </x:c>
      <x:c r="F150" s="33" t="n">
        <x:v>0.12</x:v>
      </x:c>
      <x:c r="G150" s="33" t="n">
        <x:v>0.15</x:v>
      </x:c>
      <x:c r="H150" s="34" t="str">
        <x:v>recurring</x:v>
      </x:c>
      <x:c r="I150" s="33" t="n">
        <x:v>0.1875</x:v>
      </x:c>
      <x:c r="J150" s="35" t="str">
        <x:v>Planning allowance; written quote needed</x:v>
      </x:c>
      <x:c r="K150" s="36" t="str">
        <x:v>ALLOW</x:v>
      </x:c>
      <x:c r="L150" s="37" t="n">
        <x:f>ROUND(E150*F150,2)</x:f>
        <x:v>1248</x:v>
      </x:c>
      <x:c r="M150" s="37" t="n">
        <x:f>ROUND(E150*G150,2)</x:f>
        <x:v>1560</x:v>
      </x:c>
      <x:c r="N150" s="37" t="n">
        <x:f>ROUND(E150*I150,2)</x:f>
        <x:v>1950</x:v>
      </x:c>
      <x:c r="O150" s="18" t="str">
        <x:v>40 children × 260 days = 10,400 child-days. Supplies/equipment assume purchase until physical inventory is reconciled. Low/high are -20%/+25% rate sensitivity, not observed market range.</x:v>
      </x:c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48" customHeight="1">
      <x:c r="A151" s="1" t="str">
        <x:v>OPS-036</x:v>
      </x:c>
      <x:c r="B151" s="1" t="str">
        <x:v>Daycare operations</x:v>
      </x:c>
      <x:c r="C151" s="18" t="str">
        <x:v>Food storage containers</x:v>
      </x:c>
      <x:c r="D151" s="18" t="str">
        <x:v>container</x:v>
      </x:c>
      <x:c r="E151" s="32" t="n">
        <x:v>24</x:v>
      </x:c>
      <x:c r="F151" s="33" t="n">
        <x:v>12</x:v>
      </x:c>
      <x:c r="G151" s="33" t="n">
        <x:v>15</x:v>
      </x:c>
      <x:c r="H151" s="34" t="str">
        <x:v>one_time</x:v>
      </x:c>
      <x:c r="I151" s="33" t="n">
        <x:v>18.75</x:v>
      </x:c>
      <x:c r="J151" s="35" t="str">
        <x:v>Planning allowance; written quote needed</x:v>
      </x:c>
      <x:c r="K151" s="36" t="str">
        <x:v>ALLOW</x:v>
      </x:c>
      <x:c r="L151" s="37" t="n">
        <x:f>ROUND(E151*F151,2)</x:f>
        <x:v>288</x:v>
      </x:c>
      <x:c r="M151" s="37" t="n">
        <x:f>ROUND(E151*G151,2)</x:f>
        <x:v>360</x:v>
      </x:c>
      <x:c r="N151" s="37" t="n">
        <x:f>ROUND(E151*I151,2)</x:f>
        <x:v>450</x:v>
      </x:c>
      <x:c r="O151" s="18" t="str">
        <x:v>40 children × 260 days = 10,400 child-days. Supplies/equipment assume purchase until physical inventory is reconciled. Low/high are -20%/+25% rate sensitivity, not observed market range.</x:v>
      </x:c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48" customHeight="1">
      <x:c r="A152" s="1" t="str">
        <x:v>OPS-037</x:v>
      </x:c>
      <x:c r="B152" s="1" t="str">
        <x:v>Daycare operations</x:v>
      </x:c>
      <x:c r="C152" s="18" t="str">
        <x:v>Food waste and spoilage</x:v>
      </x:c>
      <x:c r="D152" s="18" t="str">
        <x:v>child-day</x:v>
      </x:c>
      <x:c r="E152" s="32" t="n">
        <x:v>10400</x:v>
      </x:c>
      <x:c r="F152" s="33" t="n">
        <x:v>0.128</x:v>
      </x:c>
      <x:c r="G152" s="33" t="n">
        <x:v>0.16</x:v>
      </x:c>
      <x:c r="H152" s="34" t="str">
        <x:v>recurring</x:v>
      </x:c>
      <x:c r="I152" s="33" t="n">
        <x:v>0.2</x:v>
      </x:c>
      <x:c r="J152" s="35" t="str">
        <x:v>Planning allowance; written quote needed</x:v>
      </x:c>
      <x:c r="K152" s="36" t="str">
        <x:v>ALLOW</x:v>
      </x:c>
      <x:c r="L152" s="37" t="n">
        <x:f>ROUND(E152*F152,2)</x:f>
        <x:v>1331.2</x:v>
      </x:c>
      <x:c r="M152" s="37" t="n">
        <x:f>ROUND(E152*G152,2)</x:f>
        <x:v>1664</x:v>
      </x:c>
      <x:c r="N152" s="37" t="n">
        <x:f>ROUND(E152*I152,2)</x:f>
        <x:v>2080</x:v>
      </x:c>
      <x:c r="O152" s="18" t="str">
        <x:v>40 children × 260 days = 10,400 child-days. Supplies/equipment assume purchase until physical inventory is reconciled. Low/high are -20%/+25% rate sensitivity, not observed market range.</x:v>
      </x:c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48" customHeight="1">
      <x:c r="A153" s="1" t="str">
        <x:v>OPS-038</x:v>
      </x:c>
      <x:c r="B153" s="1" t="str">
        <x:v>Daycare operations</x:v>
      </x:c>
      <x:c r="C153" s="18" t="str">
        <x:v>Menu development</x:v>
      </x:c>
      <x:c r="D153" s="18" t="str">
        <x:v>dietitian hour</x:v>
      </x:c>
      <x:c r="E153" s="32" t="n">
        <x:v>24</x:v>
      </x:c>
      <x:c r="F153" s="33" t="n">
        <x:v>120</x:v>
      </x:c>
      <x:c r="G153" s="33" t="n">
        <x:v>150</x:v>
      </x:c>
      <x:c r="H153" s="34" t="str">
        <x:v>one_time</x:v>
      </x:c>
      <x:c r="I153" s="33" t="n">
        <x:v>187.5</x:v>
      </x:c>
      <x:c r="J153" s="35" t="str">
        <x:v>Planning allowance; written quote needed</x:v>
      </x:c>
      <x:c r="K153" s="36" t="str">
        <x:v>ALLOW</x:v>
      </x:c>
      <x:c r="L153" s="37" t="n">
        <x:f>ROUND(E153*F153,2)</x:f>
        <x:v>2880</x:v>
      </x:c>
      <x:c r="M153" s="37" t="n">
        <x:f>ROUND(E153*G153,2)</x:f>
        <x:v>3600</x:v>
      </x:c>
      <x:c r="N153" s="37" t="n">
        <x:f>ROUND(E153*I153,2)</x:f>
        <x:v>4500</x:v>
      </x:c>
      <x:c r="O153" s="18" t="str">
        <x:v>One-site first-year planning quantity; allowance unless source explicitly states rate. Initial menu development:24 hours. Low/high are -20%/+25% rate sensitivity, not observed market range.</x:v>
      </x:c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48" customHeight="1">
      <x:c r="A154" s="1" t="str">
        <x:v>OPS-039</x:v>
      </x:c>
      <x:c r="B154" s="1" t="str">
        <x:v>Daycare operations</x:v>
      </x:c>
      <x:c r="C154" s="18" t="str">
        <x:v>Kitchen equipment service</x:v>
      </x:c>
      <x:c r="D154" s="18" t="str">
        <x:v>service visit</x:v>
      </x:c>
      <x:c r="E154" s="32" t="n">
        <x:v>2</x:v>
      </x:c>
      <x:c r="F154" s="33" t="n">
        <x:v>240</x:v>
      </x:c>
      <x:c r="G154" s="33" t="n">
        <x:v>300</x:v>
      </x:c>
      <x:c r="H154" s="34" t="str">
        <x:v>recurring</x:v>
      </x:c>
      <x:c r="I154" s="33" t="n">
        <x:v>375</x:v>
      </x:c>
      <x:c r="J154" s="35" t="str">
        <x:v>Planning allowance; written quote needed</x:v>
      </x:c>
      <x:c r="K154" s="36" t="str">
        <x:v>ALLOW</x:v>
      </x:c>
      <x:c r="L154" s="37" t="n">
        <x:f>ROUND(E154*F154,2)</x:f>
        <x:v>480</x:v>
      </x:c>
      <x:c r="M154" s="37" t="n">
        <x:f>ROUND(E154*G154,2)</x:f>
        <x:v>600</x:v>
      </x:c>
      <x:c r="N154" s="37" t="n">
        <x:f>ROUND(E154*I154,2)</x:f>
        <x:v>750</x:v>
      </x:c>
      <x:c r="O154" s="18" t="str">
        <x:v>One-site first-year planning quantity; allowance unless source explicitly states rate. Low/high are -20%/+25% rate sensitivity, not observed market range.</x:v>
      </x:c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48" customHeight="1">
      <x:c r="A155" s="1" t="str">
        <x:v>OPS-040</x:v>
      </x:c>
      <x:c r="B155" s="1" t="str">
        <x:v>Daycare operations</x:v>
      </x:c>
      <x:c r="C155" s="18" t="str">
        <x:v>Refrigerator maintenance</x:v>
      </x:c>
      <x:c r="D155" s="18" t="str">
        <x:v>visit</x:v>
      </x:c>
      <x:c r="E155" s="32" t="n">
        <x:v>2</x:v>
      </x:c>
      <x:c r="F155" s="33" t="n">
        <x:v>160</x:v>
      </x:c>
      <x:c r="G155" s="33" t="n">
        <x:v>200</x:v>
      </x:c>
      <x:c r="H155" s="34" t="str">
        <x:v>recurring</x:v>
      </x:c>
      <x:c r="I155" s="33" t="n">
        <x:v>250</x:v>
      </x:c>
      <x:c r="J155" s="35" t="str">
        <x:v>Planning allowance; written quote needed</x:v>
      </x:c>
      <x:c r="K155" s="36" t="str">
        <x:v>ALLOW</x:v>
      </x:c>
      <x:c r="L155" s="37" t="n">
        <x:f>ROUND(E155*F155,2)</x:f>
        <x:v>320</x:v>
      </x:c>
      <x:c r="M155" s="37" t="n">
        <x:f>ROUND(E155*G155,2)</x:f>
        <x:v>400</x:v>
      </x:c>
      <x:c r="N155" s="37" t="n">
        <x:f>ROUND(E155*I155,2)</x:f>
        <x:v>500</x:v>
      </x:c>
      <x:c r="O155" s="18" t="str">
        <x:v>One-site first-year planning quantity; allowance unless source explicitly states rate. Low/high are -20%/+25% rate sensitivity, not observed market range.</x:v>
      </x:c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48" customHeight="1">
      <x:c r="A156" s="1" t="str">
        <x:v>OPS-041</x:v>
      </x:c>
      <x:c r="B156" s="1" t="str">
        <x:v>Daycare operations</x:v>
      </x:c>
      <x:c r="C156" s="18" t="str">
        <x:v>Freezer maintenance</x:v>
      </x:c>
      <x:c r="D156" s="18" t="str">
        <x:v>visit</x:v>
      </x:c>
      <x:c r="E156" s="32" t="n">
        <x:v>2</x:v>
      </x:c>
      <x:c r="F156" s="33" t="n">
        <x:v>160</x:v>
      </x:c>
      <x:c r="G156" s="33" t="n">
        <x:v>200</x:v>
      </x:c>
      <x:c r="H156" s="34" t="str">
        <x:v>recurring</x:v>
      </x:c>
      <x:c r="I156" s="33" t="n">
        <x:v>250</x:v>
      </x:c>
      <x:c r="J156" s="35" t="str">
        <x:v>Planning allowance; written quote needed</x:v>
      </x:c>
      <x:c r="K156" s="36" t="str">
        <x:v>ALLOW</x:v>
      </x:c>
      <x:c r="L156" s="37" t="n">
        <x:f>ROUND(E156*F156,2)</x:f>
        <x:v>320</x:v>
      </x:c>
      <x:c r="M156" s="37" t="n">
        <x:f>ROUND(E156*G156,2)</x:f>
        <x:v>400</x:v>
      </x:c>
      <x:c r="N156" s="37" t="n">
        <x:f>ROUND(E156*I156,2)</x:f>
        <x:v>500</x:v>
      </x:c>
      <x:c r="O156" s="18" t="str">
        <x:v>One-site first-year planning quantity; allowance unless source explicitly states rate. Low/high are -20%/+25% rate sensitivity, not observed market range.</x:v>
      </x:c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48" customHeight="1">
      <x:c r="A157" s="1" t="str">
        <x:v>OPS-042</x:v>
      </x:c>
      <x:c r="B157" s="1" t="str">
        <x:v>Daycare operations</x:v>
      </x:c>
      <x:c r="C157" s="18" t="str">
        <x:v>Dishwashing supplies</x:v>
      </x:c>
      <x:c r="D157" s="18" t="str">
        <x:v>month</x:v>
      </x:c>
      <x:c r="E157" s="32" t="n">
        <x:v>12</x:v>
      </x:c>
      <x:c r="F157" s="33" t="n">
        <x:v>28</x:v>
      </x:c>
      <x:c r="G157" s="33" t="n">
        <x:v>35</x:v>
      </x:c>
      <x:c r="H157" s="34" t="str">
        <x:v>recurring</x:v>
      </x:c>
      <x:c r="I157" s="33" t="n">
        <x:v>43.75</x:v>
      </x:c>
      <x:c r="J157" s="35" t="str">
        <x:v>Planning allowance; written quote needed</x:v>
      </x:c>
      <x:c r="K157" s="36" t="str">
        <x:v>ALLOW</x:v>
      </x:c>
      <x:c r="L157" s="37" t="n">
        <x:f>ROUND(E157*F157,2)</x:f>
        <x:v>336</x:v>
      </x:c>
      <x:c r="M157" s="37" t="n">
        <x:f>ROUND(E157*G157,2)</x:f>
        <x:v>420</x:v>
      </x:c>
      <x:c r="N157" s="37" t="n">
        <x:f>ROUND(E157*I157,2)</x:f>
        <x:v>525</x:v>
      </x:c>
      <x:c r="O157" s="18" t="str">
        <x:v>One-site first-year planning quantity; allowance unless source explicitly states rate. Low/high are -20%/+25% rate sensitivity, not observed market range.</x:v>
      </x:c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48" customHeight="1">
      <x:c r="A158" s="1" t="str">
        <x:v>OPS-043</x:v>
      </x:c>
      <x:c r="B158" s="1" t="str">
        <x:v>Daycare operations</x:v>
      </x:c>
      <x:c r="C158" s="18" t="str">
        <x:v>Gloves</x:v>
      </x:c>
      <x:c r="D158" s="18" t="str">
        <x:v>100 glove box</x:v>
      </x:c>
      <x:c r="E158" s="32" t="n">
        <x:v>24</x:v>
      </x:c>
      <x:c r="F158" s="33" t="n">
        <x:v>9.6</x:v>
      </x:c>
      <x:c r="G158" s="33" t="n">
        <x:v>12</x:v>
      </x:c>
      <x:c r="H158" s="34" t="str">
        <x:v>recurring</x:v>
      </x:c>
      <x:c r="I158" s="33" t="n">
        <x:v>15</x:v>
      </x:c>
      <x:c r="J158" s="35" t="str">
        <x:v>Planning allowance; written quote needed</x:v>
      </x:c>
      <x:c r="K158" s="36" t="str">
        <x:v>ALLOW</x:v>
      </x:c>
      <x:c r="L158" s="37" t="n">
        <x:f>ROUND(E158*F158,2)</x:f>
        <x:v>230.4</x:v>
      </x:c>
      <x:c r="M158" s="37" t="n">
        <x:f>ROUND(E158*G158,2)</x:f>
        <x:v>288</x:v>
      </x:c>
      <x:c r="N158" s="37" t="n">
        <x:f>ROUND(E158*I158,2)</x:f>
        <x:v>360</x:v>
      </x:c>
      <x:c r="O158" s="18" t="str">
        <x:v>One-site first-year planning quantity; allowance unless source explicitly states rate. Low/high are -20%/+25% rate sensitivity, not observed market range.</x:v>
      </x:c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48" customHeight="1">
      <x:c r="A159" s="1" t="str">
        <x:v>OPS-044</x:v>
      </x:c>
      <x:c r="B159" s="1" t="str">
        <x:v>Daycare operations</x:v>
      </x:c>
      <x:c r="C159" s="18" t="str">
        <x:v>Aprons</x:v>
      </x:c>
      <x:c r="D159" s="18" t="str">
        <x:v>apron</x:v>
      </x:c>
      <x:c r="E159" s="32" t="n">
        <x:v>6</x:v>
      </x:c>
      <x:c r="F159" s="33" t="n">
        <x:v>16</x:v>
      </x:c>
      <x:c r="G159" s="33" t="n">
        <x:v>20</x:v>
      </x:c>
      <x:c r="H159" s="34" t="str">
        <x:v>one_time</x:v>
      </x:c>
      <x:c r="I159" s="33" t="n">
        <x:v>25</x:v>
      </x:c>
      <x:c r="J159" s="35" t="str">
        <x:v>Planning allowance; written quote needed</x:v>
      </x:c>
      <x:c r="K159" s="36" t="str">
        <x:v>ALLOW</x:v>
      </x:c>
      <x:c r="L159" s="37" t="n">
        <x:f>ROUND(E159*F159,2)</x:f>
        <x:v>96</x:v>
      </x:c>
      <x:c r="M159" s="37" t="n">
        <x:f>ROUND(E159*G159,2)</x:f>
        <x:v>120</x:v>
      </x:c>
      <x:c r="N159" s="37" t="n">
        <x:f>ROUND(E159*I159,2)</x:f>
        <x:v>150</x:v>
      </x:c>
      <x:c r="O159" s="18" t="str">
        <x:v>One-site first-year planning quantity; allowance unless source explicitly states rate. Low/high are -20%/+25% rate sensitivity, not observed market range.</x:v>
      </x:c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48" customHeight="1">
      <x:c r="A160" s="1" t="str">
        <x:v>OPS-045</x:v>
      </x:c>
      <x:c r="B160" s="1" t="str">
        <x:v>Daycare operations</x:v>
      </x:c>
      <x:c r="C160" s="18" t="str">
        <x:v>Nutrition labeling</x:v>
      </x:c>
      <x:c r="D160" s="18" t="str">
        <x:v>dietitian hour</x:v>
      </x:c>
      <x:c r="E160" s="32" t="n">
        <x:v>8</x:v>
      </x:c>
      <x:c r="F160" s="33" t="n">
        <x:v>120</x:v>
      </x:c>
      <x:c r="G160" s="33" t="n">
        <x:v>150</x:v>
      </x:c>
      <x:c r="H160" s="34" t="str">
        <x:v>one_time</x:v>
      </x:c>
      <x:c r="I160" s="33" t="n">
        <x:v>187.5</x:v>
      </x:c>
      <x:c r="J160" s="35" t="str">
        <x:v>Planning allowance; written quote needed</x:v>
      </x:c>
      <x:c r="K160" s="36" t="str">
        <x:v>ALLOW</x:v>
      </x:c>
      <x:c r="L160" s="37" t="n">
        <x:f>ROUND(E160*F160,2)</x:f>
        <x:v>960</x:v>
      </x:c>
      <x:c r="M160" s="37" t="n">
        <x:f>ROUND(E160*G160,2)</x:f>
        <x:v>1200</x:v>
      </x:c>
      <x:c r="N160" s="37" t="n">
        <x:f>ROUND(E160*I160,2)</x:f>
        <x:v>1500</x:v>
      </x:c>
      <x:c r="O160" s="18" t="str">
        <x:v>One-site first-year planning quantity; allowance unless source explicitly states rate. Staff implementation training:8 hours; excludes initial menu. Low/high are -20%/+25% rate sensitivity, not observed market range.</x:v>
      </x:c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48" customHeight="1">
      <x:c r="A161" s="1" t="str">
        <x:v>OPS-046</x:v>
      </x:c>
      <x:c r="B161" s="1" t="str">
        <x:v>Daycare operations</x:v>
      </x:c>
      <x:c r="C161" s="18" t="str">
        <x:v>Base lease</x:v>
      </x:c>
      <x:c r="D161" s="18" t="str">
        <x:v>square foot/year</x:v>
      </x:c>
      <x:c r="E161" s="32" t="n">
        <x:v>4500</x:v>
      </x:c>
      <x:c r="F161" s="33" t="n">
        <x:v>24</x:v>
      </x:c>
      <x:c r="G161" s="33" t="n">
        <x:v>24</x:v>
      </x:c>
      <x:c r="H161" s="34" t="str">
        <x:v>recurring</x:v>
      </x:c>
      <x:c r="I161" s="33" t="n">
        <x:v>24</x:v>
      </x:c>
      <x:c r="J161" s="35" t="str">
        <x:v>Published comparable; actual lease unknown</x:v>
      </x:c>
      <x:c r="K161" s="36" t="str">
        <x:v>LEASE</x:v>
      </x:c>
      <x:c r="L161" s="37" t="n">
        <x:f>ROUND(E161*F161,2)</x:f>
        <x:v>108000</x:v>
      </x:c>
      <x:c r="M161" s="37" t="n">
        <x:f>ROUND(E161*G161,2)</x:f>
        <x:v>108000</x:v>
      </x:c>
      <x:c r="N161" s="37" t="n">
        <x:f>ROUND(E161*I161,2)</x:f>
        <x:v>108000</x:v>
      </x:c>
      <x:c r="O161" s="18" t="str">
        <x:v>One-site first-year planning quantity; allowance unless source explicitly states rate.</x:v>
      </x:c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48" customHeight="1">
      <x:c r="A162" s="1" t="str">
        <x:v>OPS-047</x:v>
      </x:c>
      <x:c r="B162" s="1" t="str">
        <x:v>Daycare operations</x:v>
      </x:c>
      <x:c r="C162" s="18" t="str">
        <x:v>Security deposit</x:v>
      </x:c>
      <x:c r="D162" s="18" t="str">
        <x:v>refundable deposit</x:v>
      </x:c>
      <x:c r="E162" s="32" t="n">
        <x:v>1</x:v>
      </x:c>
      <x:c r="F162" s="33" t="n">
        <x:v>7200</x:v>
      </x:c>
      <x:c r="G162" s="33" t="n">
        <x:v>9000</x:v>
      </x:c>
      <x:c r="H162" s="34" t="str">
        <x:v>refundable_deposit</x:v>
      </x:c>
      <x:c r="I162" s="33" t="n">
        <x:v>11250</x:v>
      </x:c>
      <x:c r="J162" s="35" t="str">
        <x:v>Planning allowance; written quote needed</x:v>
      </x:c>
      <x:c r="K162" s="36" t="str">
        <x:v>ALLOW</x:v>
      </x:c>
      <x:c r="L162" s="37" t="n">
        <x:f>ROUND(E162*F162,2)</x:f>
        <x:v>7200</x:v>
      </x:c>
      <x:c r="M162" s="37" t="n">
        <x:f>ROUND(E162*G162,2)</x:f>
        <x:v>9000</x:v>
      </x:c>
      <x:c r="N162" s="37" t="n">
        <x:f>ROUND(E162*I162,2)</x:f>
        <x:v>11250</x:v>
      </x:c>
      <x:c r="O162" s="18" t="str">
        <x:v>One-site first-year planning quantity; allowance unless source explicitly states rate. Low/high are -20%/+25% rate sensitivity, not observed market range.</x:v>
      </x:c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48" customHeight="1">
      <x:c r="A163" s="1" t="str">
        <x:v>OPS-049</x:v>
      </x:c>
      <x:c r="B163" s="1" t="str">
        <x:v>Daycare operations</x:v>
      </x:c>
      <x:c r="C163" s="18" t="str">
        <x:v>Electricity</x:v>
      </x:c>
      <x:c r="D163" s="18" t="str">
        <x:v>month</x:v>
      </x:c>
      <x:c r="E163" s="32" t="n">
        <x:v>12</x:v>
      </x:c>
      <x:c r="F163" s="33" t="n">
        <x:v>480</x:v>
      </x:c>
      <x:c r="G163" s="33" t="n">
        <x:v>600</x:v>
      </x:c>
      <x:c r="H163" s="34" t="str">
        <x:v>recurring</x:v>
      </x:c>
      <x:c r="I163" s="33" t="n">
        <x:v>750</x:v>
      </x:c>
      <x:c r="J163" s="35" t="str">
        <x:v>Planning allowance; written quote needed</x:v>
      </x:c>
      <x:c r="K163" s="36" t="str">
        <x:v>ALLOW</x:v>
      </x:c>
      <x:c r="L163" s="37" t="n">
        <x:f>ROUND(E163*F163,2)</x:f>
        <x:v>5760</x:v>
      </x:c>
      <x:c r="M163" s="37" t="n">
        <x:f>ROUND(E163*G163,2)</x:f>
        <x:v>7200</x:v>
      </x:c>
      <x:c r="N163" s="37" t="n">
        <x:f>ROUND(E163*I163,2)</x:f>
        <x:v>9000</x:v>
      </x:c>
      <x:c r="O163" s="18" t="str">
        <x:v>One-site first-year planning quantity; allowance unless source explicitly states rate. Low/high are -20%/+25% rate sensitivity, not observed market range.</x:v>
      </x:c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48" customHeight="1">
      <x:c r="A164" s="1" t="str">
        <x:v>OPS-050</x:v>
      </x:c>
      <x:c r="B164" s="1" t="str">
        <x:v>Daycare operations</x:v>
      </x:c>
      <x:c r="C164" s="18" t="str">
        <x:v>Natural gas</x:v>
      </x:c>
      <x:c r="D164" s="18" t="str">
        <x:v>month</x:v>
      </x:c>
      <x:c r="E164" s="32" t="n">
        <x:v>12</x:v>
      </x:c>
      <x:c r="F164" s="33" t="n">
        <x:v>140</x:v>
      </x:c>
      <x:c r="G164" s="33" t="n">
        <x:v>175</x:v>
      </x:c>
      <x:c r="H164" s="34" t="str">
        <x:v>recurring</x:v>
      </x:c>
      <x:c r="I164" s="33" t="n">
        <x:v>218.75</x:v>
      </x:c>
      <x:c r="J164" s="35" t="str">
        <x:v>Planning allowance; written quote needed</x:v>
      </x:c>
      <x:c r="K164" s="36" t="str">
        <x:v>ALLOW</x:v>
      </x:c>
      <x:c r="L164" s="37" t="n">
        <x:f>ROUND(E164*F164,2)</x:f>
        <x:v>1680</x:v>
      </x:c>
      <x:c r="M164" s="37" t="n">
        <x:f>ROUND(E164*G164,2)</x:f>
        <x:v>2100</x:v>
      </x:c>
      <x:c r="N164" s="37" t="n">
        <x:f>ROUND(E164*I164,2)</x:f>
        <x:v>2625</x:v>
      </x:c>
      <x:c r="O164" s="18" t="str">
        <x:v>One-site first-year planning quantity; allowance unless source explicitly states rate. Low/high are -20%/+25% rate sensitivity, not observed market range.</x:v>
      </x:c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48" customHeight="1">
      <x:c r="A165" s="1" t="str">
        <x:v>OPS-051</x:v>
      </x:c>
      <x:c r="B165" s="1" t="str">
        <x:v>Daycare operations</x:v>
      </x:c>
      <x:c r="C165" s="18" t="str">
        <x:v>Water and sewer</x:v>
      </x:c>
      <x:c r="D165" s="18" t="str">
        <x:v>month</x:v>
      </x:c>
      <x:c r="E165" s="32" t="n">
        <x:v>12</x:v>
      </x:c>
      <x:c r="F165" s="33" t="n">
        <x:v>140</x:v>
      </x:c>
      <x:c r="G165" s="33" t="n">
        <x:v>175</x:v>
      </x:c>
      <x:c r="H165" s="34" t="str">
        <x:v>recurring</x:v>
      </x:c>
      <x:c r="I165" s="33" t="n">
        <x:v>218.75</x:v>
      </x:c>
      <x:c r="J165" s="35" t="str">
        <x:v>Planning allowance; written quote needed</x:v>
      </x:c>
      <x:c r="K165" s="36" t="str">
        <x:v>ALLOW</x:v>
      </x:c>
      <x:c r="L165" s="37" t="n">
        <x:f>ROUND(E165*F165,2)</x:f>
        <x:v>1680</x:v>
      </x:c>
      <x:c r="M165" s="37" t="n">
        <x:f>ROUND(E165*G165,2)</x:f>
        <x:v>2100</x:v>
      </x:c>
      <x:c r="N165" s="37" t="n">
        <x:f>ROUND(E165*I165,2)</x:f>
        <x:v>2625</x:v>
      </x:c>
      <x:c r="O165" s="18" t="str">
        <x:v>One-site first-year planning quantity; allowance unless source explicitly states rate. Low/high are -20%/+25% rate sensitivity, not observed market range.</x:v>
      </x:c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48" customHeight="1">
      <x:c r="A166" s="1" t="str">
        <x:v>OPS-052</x:v>
      </x:c>
      <x:c r="B166" s="1" t="str">
        <x:v>Daycare operations</x:v>
      </x:c>
      <x:c r="C166" s="18" t="str">
        <x:v>Internet service</x:v>
      </x:c>
      <x:c r="D166" s="18" t="str">
        <x:v>month</x:v>
      </x:c>
      <x:c r="E166" s="32" t="n">
        <x:v>12</x:v>
      </x:c>
      <x:c r="F166" s="33" t="n">
        <x:v>96</x:v>
      </x:c>
      <x:c r="G166" s="33" t="n">
        <x:v>120</x:v>
      </x:c>
      <x:c r="H166" s="34" t="str">
        <x:v>recurring</x:v>
      </x:c>
      <x:c r="I166" s="33" t="n">
        <x:v>150</x:v>
      </x:c>
      <x:c r="J166" s="35" t="str">
        <x:v>Planning allowance; written quote needed</x:v>
      </x:c>
      <x:c r="K166" s="36" t="str">
        <x:v>ALLOW</x:v>
      </x:c>
      <x:c r="L166" s="37" t="n">
        <x:f>ROUND(E166*F166,2)</x:f>
        <x:v>1152</x:v>
      </x:c>
      <x:c r="M166" s="37" t="n">
        <x:f>ROUND(E166*G166,2)</x:f>
        <x:v>1440</x:v>
      </x:c>
      <x:c r="N166" s="37" t="n">
        <x:f>ROUND(E166*I166,2)</x:f>
        <x:v>1800</x:v>
      </x:c>
      <x:c r="O166" s="18" t="str">
        <x:v>One-site first-year planning quantity; allowance unless source explicitly states rate. Low/high are -20%/+25% rate sensitivity, not observed market range.</x:v>
      </x:c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48" customHeight="1">
      <x:c r="A167" s="1" t="str">
        <x:v>OPS-053</x:v>
      </x:c>
      <x:c r="B167" s="1" t="str">
        <x:v>Daycare operations</x:v>
      </x:c>
      <x:c r="C167" s="18" t="str">
        <x:v>Mobile phone service</x:v>
      </x:c>
      <x:c r="D167" s="18" t="str">
        <x:v>month</x:v>
      </x:c>
      <x:c r="E167" s="32" t="n">
        <x:v>12</x:v>
      </x:c>
      <x:c r="F167" s="33" t="n">
        <x:v>64</x:v>
      </x:c>
      <x:c r="G167" s="33" t="n">
        <x:v>80</x:v>
      </x:c>
      <x:c r="H167" s="34" t="str">
        <x:v>recurring</x:v>
      </x:c>
      <x:c r="I167" s="33" t="n">
        <x:v>100</x:v>
      </x:c>
      <x:c r="J167" s="35" t="str">
        <x:v>Planning allowance; written quote needed</x:v>
      </x:c>
      <x:c r="K167" s="36" t="str">
        <x:v>ALLOW</x:v>
      </x:c>
      <x:c r="L167" s="37" t="n">
        <x:f>ROUND(E167*F167,2)</x:f>
        <x:v>768</x:v>
      </x:c>
      <x:c r="M167" s="37" t="n">
        <x:f>ROUND(E167*G167,2)</x:f>
        <x:v>960</x:v>
      </x:c>
      <x:c r="N167" s="37" t="n">
        <x:f>ROUND(E167*I167,2)</x:f>
        <x:v>1200</x:v>
      </x:c>
      <x:c r="O167" s="18" t="str">
        <x:v>One-site first-year planning quantity; allowance unless source explicitly states rate. Low/high are -20%/+25% rate sensitivity, not observed market range.</x:v>
      </x:c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48" customHeight="1">
      <x:c r="A168" s="1" t="str">
        <x:v>OPS-054</x:v>
      </x:c>
      <x:c r="B168" s="1" t="str">
        <x:v>Daycare operations</x:v>
      </x:c>
      <x:c r="C168" s="18" t="str">
        <x:v>HVAC maintenance</x:v>
      </x:c>
      <x:c r="D168" s="18" t="str">
        <x:v>visit</x:v>
      </x:c>
      <x:c r="E168" s="32" t="n">
        <x:v>4</x:v>
      </x:c>
      <x:c r="F168" s="33" t="n">
        <x:v>200</x:v>
      </x:c>
      <x:c r="G168" s="33" t="n">
        <x:v>250</x:v>
      </x:c>
      <x:c r="H168" s="34" t="str">
        <x:v>recurring</x:v>
      </x:c>
      <x:c r="I168" s="33" t="n">
        <x:v>312.5</x:v>
      </x:c>
      <x:c r="J168" s="35" t="str">
        <x:v>Planning allowance; written quote needed</x:v>
      </x:c>
      <x:c r="K168" s="36" t="str">
        <x:v>ALLOW</x:v>
      </x:c>
      <x:c r="L168" s="37" t="n">
        <x:f>ROUND(E168*F168,2)</x:f>
        <x:v>800</x:v>
      </x:c>
      <x:c r="M168" s="37" t="n">
        <x:f>ROUND(E168*G168,2)</x:f>
        <x:v>1000</x:v>
      </x:c>
      <x:c r="N168" s="37" t="n">
        <x:f>ROUND(E168*I168,2)</x:f>
        <x:v>1250</x:v>
      </x:c>
      <x:c r="O168" s="18" t="str">
        <x:v>One-site first-year planning quantity; allowance unless source explicitly states rate. Low/high are -20%/+25% rate sensitivity, not observed market range.</x:v>
      </x:c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48" customHeight="1">
      <x:c r="A169" s="1" t="str">
        <x:v>OPS-055</x:v>
      </x:c>
      <x:c r="B169" s="1" t="str">
        <x:v>Daycare operations</x:v>
      </x:c>
      <x:c r="C169" s="18" t="str">
        <x:v>Plumbing maintenance</x:v>
      </x:c>
      <x:c r="D169" s="18" t="str">
        <x:v>visit</x:v>
      </x:c>
      <x:c r="E169" s="32" t="n">
        <x:v>4</x:v>
      </x:c>
      <x:c r="F169" s="33" t="n">
        <x:v>160</x:v>
      </x:c>
      <x:c r="G169" s="33" t="n">
        <x:v>200</x:v>
      </x:c>
      <x:c r="H169" s="34" t="str">
        <x:v>recurring</x:v>
      </x:c>
      <x:c r="I169" s="33" t="n">
        <x:v>250</x:v>
      </x:c>
      <x:c r="J169" s="35" t="str">
        <x:v>Planning allowance; written quote needed</x:v>
      </x:c>
      <x:c r="K169" s="36" t="str">
        <x:v>ALLOW</x:v>
      </x:c>
      <x:c r="L169" s="37" t="n">
        <x:f>ROUND(E169*F169,2)</x:f>
        <x:v>640</x:v>
      </x:c>
      <x:c r="M169" s="37" t="n">
        <x:f>ROUND(E169*G169,2)</x:f>
        <x:v>800</x:v>
      </x:c>
      <x:c r="N169" s="37" t="n">
        <x:f>ROUND(E169*I169,2)</x:f>
        <x:v>1000</x:v>
      </x:c>
      <x:c r="O169" s="18" t="str">
        <x:v>One-site first-year planning quantity; allowance unless source explicitly states rate. Low/high are -20%/+25% rate sensitivity, not observed market range.</x:v>
      </x:c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48" customHeight="1">
      <x:c r="A170" s="1" t="str">
        <x:v>OPS-056</x:v>
      </x:c>
      <x:c r="B170" s="1" t="str">
        <x:v>Daycare operations</x:v>
      </x:c>
      <x:c r="C170" s="18" t="str">
        <x:v>Electrical maintenance</x:v>
      </x:c>
      <x:c r="D170" s="18" t="str">
        <x:v>visit</x:v>
      </x:c>
      <x:c r="E170" s="32" t="n">
        <x:v>2</x:v>
      </x:c>
      <x:c r="F170" s="33" t="n">
        <x:v>200</x:v>
      </x:c>
      <x:c r="G170" s="33" t="n">
        <x:v>250</x:v>
      </x:c>
      <x:c r="H170" s="34" t="str">
        <x:v>recurring</x:v>
      </x:c>
      <x:c r="I170" s="33" t="n">
        <x:v>312.5</x:v>
      </x:c>
      <x:c r="J170" s="35" t="str">
        <x:v>Planning allowance; written quote needed</x:v>
      </x:c>
      <x:c r="K170" s="36" t="str">
        <x:v>ALLOW</x:v>
      </x:c>
      <x:c r="L170" s="37" t="n">
        <x:f>ROUND(E170*F170,2)</x:f>
        <x:v>400</x:v>
      </x:c>
      <x:c r="M170" s="37" t="n">
        <x:f>ROUND(E170*G170,2)</x:f>
        <x:v>500</x:v>
      </x:c>
      <x:c r="N170" s="37" t="n">
        <x:f>ROUND(E170*I170,2)</x:f>
        <x:v>625</x:v>
      </x:c>
      <x:c r="O170" s="18" t="str">
        <x:v>One-site first-year planning quantity; allowance unless source explicitly states rate. Low/high are -20%/+25% rate sensitivity, not observed market range.</x:v>
      </x:c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48" customHeight="1">
      <x:c r="A171" s="1" t="str">
        <x:v>OPS-057</x:v>
      </x:c>
      <x:c r="B171" s="1" t="str">
        <x:v>Daycare operations</x:v>
      </x:c>
      <x:c r="C171" s="18" t="str">
        <x:v>Pest control</x:v>
      </x:c>
      <x:c r="D171" s="18" t="str">
        <x:v>month</x:v>
      </x:c>
      <x:c r="E171" s="32" t="n">
        <x:v>12</x:v>
      </x:c>
      <x:c r="F171" s="33" t="n">
        <x:v>60</x:v>
      </x:c>
      <x:c r="G171" s="33" t="n">
        <x:v>75</x:v>
      </x:c>
      <x:c r="H171" s="34" t="str">
        <x:v>recurring</x:v>
      </x:c>
      <x:c r="I171" s="33" t="n">
        <x:v>93.75</x:v>
      </x:c>
      <x:c r="J171" s="35" t="str">
        <x:v>Planning allowance; written quote needed</x:v>
      </x:c>
      <x:c r="K171" s="36" t="str">
        <x:v>ALLOW</x:v>
      </x:c>
      <x:c r="L171" s="37" t="n">
        <x:f>ROUND(E171*F171,2)</x:f>
        <x:v>720</x:v>
      </x:c>
      <x:c r="M171" s="37" t="n">
        <x:f>ROUND(E171*G171,2)</x:f>
        <x:v>900</x:v>
      </x:c>
      <x:c r="N171" s="37" t="n">
        <x:f>ROUND(E171*I171,2)</x:f>
        <x:v>1125</x:v>
      </x:c>
      <x:c r="O171" s="18" t="str">
        <x:v>One-site first-year planning quantity; allowance unless source explicitly states rate. Low/high are -20%/+25% rate sensitivity, not observed market range.</x:v>
      </x:c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48" customHeight="1">
      <x:c r="A172" s="1" t="str">
        <x:v>OPS-058</x:v>
      </x:c>
      <x:c r="B172" s="1" t="str">
        <x:v>Daycare operations</x:v>
      </x:c>
      <x:c r="C172" s="18" t="str">
        <x:v>Trash and recycling</x:v>
      </x:c>
      <x:c r="D172" s="18" t="str">
        <x:v>month</x:v>
      </x:c>
      <x:c r="E172" s="32" t="n">
        <x:v>12</x:v>
      </x:c>
      <x:c r="F172" s="33" t="n">
        <x:v>100</x:v>
      </x:c>
      <x:c r="G172" s="33" t="n">
        <x:v>125</x:v>
      </x:c>
      <x:c r="H172" s="34" t="str">
        <x:v>recurring</x:v>
      </x:c>
      <x:c r="I172" s="33" t="n">
        <x:v>156.25</x:v>
      </x:c>
      <x:c r="J172" s="35" t="str">
        <x:v>Planning allowance; written quote needed</x:v>
      </x:c>
      <x:c r="K172" s="36" t="str">
        <x:v>ALLOW</x:v>
      </x:c>
      <x:c r="L172" s="37" t="n">
        <x:f>ROUND(E172*F172,2)</x:f>
        <x:v>1200</x:v>
      </x:c>
      <x:c r="M172" s="37" t="n">
        <x:f>ROUND(E172*G172,2)</x:f>
        <x:v>1500</x:v>
      </x:c>
      <x:c r="N172" s="37" t="n">
        <x:f>ROUND(E172*I172,2)</x:f>
        <x:v>1875</x:v>
      </x:c>
      <x:c r="O172" s="18" t="str">
        <x:v>One-site first-year planning quantity; allowance unless source explicitly states rate. Low/high are -20%/+25% rate sensitivity, not observed market range.</x:v>
      </x:c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48" customHeight="1">
      <x:c r="A173" s="1" t="str">
        <x:v>OPS-059</x:v>
      </x:c>
      <x:c r="B173" s="1" t="str">
        <x:v>Daycare operations</x:v>
      </x:c>
      <x:c r="C173" s="18" t="str">
        <x:v>General liability insurance</x:v>
      </x:c>
      <x:c r="D173" s="18" t="str">
        <x:v>annual premium</x:v>
      </x:c>
      <x:c r="E173" s="32" t="n">
        <x:v>1</x:v>
      </x:c>
      <x:c r="F173" s="33" t="n">
        <x:v>4000</x:v>
      </x:c>
      <x:c r="G173" s="33" t="n">
        <x:v>5000</x:v>
      </x:c>
      <x:c r="H173" s="34" t="str">
        <x:v>recurring</x:v>
      </x:c>
      <x:c r="I173" s="33" t="n">
        <x:v>6250</x:v>
      </x:c>
      <x:c r="J173" s="35" t="str">
        <x:v>Planning allowance; written quote needed</x:v>
      </x:c>
      <x:c r="K173" s="36" t="str">
        <x:v>INS</x:v>
      </x:c>
      <x:c r="L173" s="37" t="n">
        <x:f>ROUND(E173*F173,2)</x:f>
        <x:v>4000</x:v>
      </x:c>
      <x:c r="M173" s="37" t="n">
        <x:f>ROUND(E173*G173,2)</x:f>
        <x:v>5000</x:v>
      </x:c>
      <x:c r="N173" s="37" t="n">
        <x:f>ROUND(E173*I173,2)</x:f>
        <x:v>6250</x:v>
      </x:c>
      <x:c r="O173" s="18" t="str">
        <x:v>One-site first-year planning quantity; allowance unless source explicitly states rate. Low/high are -20%/+25% rate sensitivity, not observed market range.</x:v>
      </x:c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48" customHeight="1">
      <x:c r="A174" s="1" t="str">
        <x:v>OPS-060</x:v>
      </x:c>
      <x:c r="B174" s="1" t="str">
        <x:v>Daycare operations</x:v>
      </x:c>
      <x:c r="C174" s="18" t="str">
        <x:v>Property insurance</x:v>
      </x:c>
      <x:c r="D174" s="18" t="str">
        <x:v>annual premium</x:v>
      </x:c>
      <x:c r="E174" s="32" t="n">
        <x:v>1</x:v>
      </x:c>
      <x:c r="F174" s="33" t="n">
        <x:v>1600</x:v>
      </x:c>
      <x:c r="G174" s="33" t="n">
        <x:v>2000</x:v>
      </x:c>
      <x:c r="H174" s="34" t="str">
        <x:v>recurring</x:v>
      </x:c>
      <x:c r="I174" s="33" t="n">
        <x:v>2500</x:v>
      </x:c>
      <x:c r="J174" s="35" t="str">
        <x:v>Planning allowance; written quote needed</x:v>
      </x:c>
      <x:c r="K174" s="36" t="str">
        <x:v>INS</x:v>
      </x:c>
      <x:c r="L174" s="37" t="n">
        <x:f>ROUND(E174*F174,2)</x:f>
        <x:v>1600</x:v>
      </x:c>
      <x:c r="M174" s="37" t="n">
        <x:f>ROUND(E174*G174,2)</x:f>
        <x:v>2000</x:v>
      </x:c>
      <x:c r="N174" s="37" t="n">
        <x:f>ROUND(E174*I174,2)</x:f>
        <x:v>2500</x:v>
      </x:c>
      <x:c r="O174" s="18" t="str">
        <x:v>One-site first-year planning quantity; allowance unless source explicitly states rate. Low/high are -20%/+25% rate sensitivity, not observed market range.</x:v>
      </x:c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48" customHeight="1">
      <x:c r="A175" s="1" t="str">
        <x:v>OPS-061</x:v>
      </x:c>
      <x:c r="B175" s="1" t="str">
        <x:v>Daycare operations</x:v>
      </x:c>
      <x:c r="C175" s="18" t="str">
        <x:v>Umbrella insurance</x:v>
      </x:c>
      <x:c r="D175" s="18" t="str">
        <x:v>annual premium</x:v>
      </x:c>
      <x:c r="E175" s="32" t="n">
        <x:v>1</x:v>
      </x:c>
      <x:c r="F175" s="33" t="n">
        <x:v>1200</x:v>
      </x:c>
      <x:c r="G175" s="33" t="n">
        <x:v>1500</x:v>
      </x:c>
      <x:c r="H175" s="34" t="str">
        <x:v>recurring</x:v>
      </x:c>
      <x:c r="I175" s="33" t="n">
        <x:v>1875</x:v>
      </x:c>
      <x:c r="J175" s="35" t="str">
        <x:v>Planning allowance; written quote needed</x:v>
      </x:c>
      <x:c r="K175" s="36" t="str">
        <x:v>INS</x:v>
      </x:c>
      <x:c r="L175" s="37" t="n">
        <x:f>ROUND(E175*F175,2)</x:f>
        <x:v>1200</x:v>
      </x:c>
      <x:c r="M175" s="37" t="n">
        <x:f>ROUND(E175*G175,2)</x:f>
        <x:v>1500</x:v>
      </x:c>
      <x:c r="N175" s="37" t="n">
        <x:f>ROUND(E175*I175,2)</x:f>
        <x:v>1875</x:v>
      </x:c>
      <x:c r="O175" s="18" t="str">
        <x:v>One-site first-year planning quantity; allowance unless source explicitly states rate. Low/high are -20%/+25% rate sensitivity, not observed market range.</x:v>
      </x:c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48" customHeight="1">
      <x:c r="A176" s="1" t="str">
        <x:v>OPS-062</x:v>
      </x:c>
      <x:c r="B176" s="1" t="str">
        <x:v>Daycare operations</x:v>
      </x:c>
      <x:c r="C176" s="18" t="str">
        <x:v>Business interruption insurance</x:v>
      </x:c>
      <x:c r="D176" s="18" t="str">
        <x:v>annual premium</x:v>
      </x:c>
      <x:c r="E176" s="32" t="n">
        <x:v>1</x:v>
      </x:c>
      <x:c r="F176" s="33" t="n">
        <x:v>960</x:v>
      </x:c>
      <x:c r="G176" s="33" t="n">
        <x:v>1200</x:v>
      </x:c>
      <x:c r="H176" s="34" t="str">
        <x:v>recurring</x:v>
      </x:c>
      <x:c r="I176" s="33" t="n">
        <x:v>1500</x:v>
      </x:c>
      <x:c r="J176" s="35" t="str">
        <x:v>Planning allowance; written quote needed</x:v>
      </x:c>
      <x:c r="K176" s="36" t="str">
        <x:v>INS</x:v>
      </x:c>
      <x:c r="L176" s="37" t="n">
        <x:f>ROUND(E176*F176,2)</x:f>
        <x:v>960</x:v>
      </x:c>
      <x:c r="M176" s="37" t="n">
        <x:f>ROUND(E176*G176,2)</x:f>
        <x:v>1200</x:v>
      </x:c>
      <x:c r="N176" s="37" t="n">
        <x:f>ROUND(E176*I176,2)</x:f>
        <x:v>1500</x:v>
      </x:c>
      <x:c r="O176" s="18" t="str">
        <x:v>One-site first-year planning quantity; allowance unless source explicitly states rate. Low/high are -20%/+25% rate sensitivity, not observed market range.</x:v>
      </x:c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48" customHeight="1">
      <x:c r="A177" s="1" t="str">
        <x:v>OPS-064</x:v>
      </x:c>
      <x:c r="B177" s="1" t="str">
        <x:v>Daycare operations</x:v>
      </x:c>
      <x:c r="C177" s="18" t="str">
        <x:v>Deep cleaning</x:v>
      </x:c>
      <x:c r="D177" s="18" t="str">
        <x:v>deep clean</x:v>
      </x:c>
      <x:c r="E177" s="32" t="n">
        <x:v>4</x:v>
      </x:c>
      <x:c r="F177" s="33" t="n">
        <x:v>320</x:v>
      </x:c>
      <x:c r="G177" s="33" t="n">
        <x:v>400</x:v>
      </x:c>
      <x:c r="H177" s="34" t="str">
        <x:v>recurring</x:v>
      </x:c>
      <x:c r="I177" s="33" t="n">
        <x:v>500</x:v>
      </x:c>
      <x:c r="J177" s="35" t="str">
        <x:v>Planning allowance; written quote needed</x:v>
      </x:c>
      <x:c r="K177" s="36" t="str">
        <x:v>ALLOW</x:v>
      </x:c>
      <x:c r="L177" s="37" t="n">
        <x:f>ROUND(E177*F177,2)</x:f>
        <x:v>1280</x:v>
      </x:c>
      <x:c r="M177" s="37" t="n">
        <x:f>ROUND(E177*G177,2)</x:f>
        <x:v>1600</x:v>
      </x:c>
      <x:c r="N177" s="37" t="n">
        <x:f>ROUND(E177*I177,2)</x:f>
        <x:v>2000</x:v>
      </x:c>
      <x:c r="O177" s="18" t="str">
        <x:v>One-site first-year planning quantity; allowance unless source explicitly states rate. Low/high are -20%/+25% rate sensitivity, not observed market range.</x:v>
      </x:c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48" customHeight="1">
      <x:c r="A178" s="1" t="str">
        <x:v>OPS-065</x:v>
      </x:c>
      <x:c r="B178" s="1" t="str">
        <x:v>Daycare operations</x:v>
      </x:c>
      <x:c r="C178" s="18" t="str">
        <x:v>Sanitizer</x:v>
      </x:c>
      <x:c r="D178" s="18" t="str">
        <x:v>month</x:v>
      </x:c>
      <x:c r="E178" s="32" t="n">
        <x:v>12</x:v>
      </x:c>
      <x:c r="F178" s="33" t="n">
        <x:v>24</x:v>
      </x:c>
      <x:c r="G178" s="33" t="n">
        <x:v>30</x:v>
      </x:c>
      <x:c r="H178" s="34" t="str">
        <x:v>recurring</x:v>
      </x:c>
      <x:c r="I178" s="33" t="n">
        <x:v>37.5</x:v>
      </x:c>
      <x:c r="J178" s="35" t="str">
        <x:v>Planning allowance; written quote needed</x:v>
      </x:c>
      <x:c r="K178" s="36" t="str">
        <x:v>ALLOW</x:v>
      </x:c>
      <x:c r="L178" s="37" t="n">
        <x:f>ROUND(E178*F178,2)</x:f>
        <x:v>288</x:v>
      </x:c>
      <x:c r="M178" s="37" t="n">
        <x:f>ROUND(E178*G178,2)</x:f>
        <x:v>360</x:v>
      </x:c>
      <x:c r="N178" s="37" t="n">
        <x:f>ROUND(E178*I178,2)</x:f>
        <x:v>450</x:v>
      </x:c>
      <x:c r="O178" s="18" t="str">
        <x:v>One-site first-year planning quantity; allowance unless source explicitly states rate. Low/high are -20%/+25% rate sensitivity, not observed market range.</x:v>
      </x:c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48" customHeight="1">
      <x:c r="A179" s="1" t="str">
        <x:v>OPS-066</x:v>
      </x:c>
      <x:c r="B179" s="1" t="str">
        <x:v>Daycare operations</x:v>
      </x:c>
      <x:c r="C179" s="18" t="str">
        <x:v>Paper towels</x:v>
      </x:c>
      <x:c r="D179" s="18" t="str">
        <x:v>case</x:v>
      </x:c>
      <x:c r="E179" s="32" t="n">
        <x:v>48</x:v>
      </x:c>
      <x:c r="F179" s="33" t="n">
        <x:v>28</x:v>
      </x:c>
      <x:c r="G179" s="33" t="n">
        <x:v>35</x:v>
      </x:c>
      <x:c r="H179" s="34" t="str">
        <x:v>recurring</x:v>
      </x:c>
      <x:c r="I179" s="33" t="n">
        <x:v>43.75</x:v>
      </x:c>
      <x:c r="J179" s="35" t="str">
        <x:v>Planning allowance; written quote needed</x:v>
      </x:c>
      <x:c r="K179" s="36" t="str">
        <x:v>ALLOW</x:v>
      </x:c>
      <x:c r="L179" s="37" t="n">
        <x:f>ROUND(E179*F179,2)</x:f>
        <x:v>1344</x:v>
      </x:c>
      <x:c r="M179" s="37" t="n">
        <x:f>ROUND(E179*G179,2)</x:f>
        <x:v>1680</x:v>
      </x:c>
      <x:c r="N179" s="37" t="n">
        <x:f>ROUND(E179*I179,2)</x:f>
        <x:v>2100</x:v>
      </x:c>
      <x:c r="O179" s="18" t="str">
        <x:v>One-site first-year planning quantity; allowance unless source explicitly states rate. Low/high are -20%/+25% rate sensitivity, not observed market range.</x:v>
      </x:c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48" customHeight="1">
      <x:c r="A180" s="1" t="str">
        <x:v>OPS-067</x:v>
      </x:c>
      <x:c r="B180" s="1" t="str">
        <x:v>Daycare operations</x:v>
      </x:c>
      <x:c r="C180" s="18" t="str">
        <x:v>Toilet paper</x:v>
      </x:c>
      <x:c r="D180" s="18" t="str">
        <x:v>case</x:v>
      </x:c>
      <x:c r="E180" s="32" t="n">
        <x:v>24</x:v>
      </x:c>
      <x:c r="F180" s="33" t="n">
        <x:v>24</x:v>
      </x:c>
      <x:c r="G180" s="33" t="n">
        <x:v>30</x:v>
      </x:c>
      <x:c r="H180" s="34" t="str">
        <x:v>recurring</x:v>
      </x:c>
      <x:c r="I180" s="33" t="n">
        <x:v>37.5</x:v>
      </x:c>
      <x:c r="J180" s="35" t="str">
        <x:v>Planning allowance; written quote needed</x:v>
      </x:c>
      <x:c r="K180" s="36" t="str">
        <x:v>ALLOW</x:v>
      </x:c>
      <x:c r="L180" s="37" t="n">
        <x:f>ROUND(E180*F180,2)</x:f>
        <x:v>576</x:v>
      </x:c>
      <x:c r="M180" s="37" t="n">
        <x:f>ROUND(E180*G180,2)</x:f>
        <x:v>720</x:v>
      </x:c>
      <x:c r="N180" s="37" t="n">
        <x:f>ROUND(E180*I180,2)</x:f>
        <x:v>900</x:v>
      </x:c>
      <x:c r="O180" s="18" t="str">
        <x:v>One-site first-year planning quantity; allowance unless source explicitly states rate. Low/high are -20%/+25% rate sensitivity, not observed market range.</x:v>
      </x:c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48" customHeight="1">
      <x:c r="A181" s="1" t="str">
        <x:v>OPS-068</x:v>
      </x:c>
      <x:c r="B181" s="1" t="str">
        <x:v>Daycare operations</x:v>
      </x:c>
      <x:c r="C181" s="18" t="str">
        <x:v>Hand soap</x:v>
      </x:c>
      <x:c r="D181" s="18" t="str">
        <x:v>refill pack</x:v>
      </x:c>
      <x:c r="E181" s="32" t="n">
        <x:v>24</x:v>
      </x:c>
      <x:c r="F181" s="33" t="n">
        <x:v>14.4</x:v>
      </x:c>
      <x:c r="G181" s="33" t="n">
        <x:v>18</x:v>
      </x:c>
      <x:c r="H181" s="34" t="str">
        <x:v>recurring</x:v>
      </x:c>
      <x:c r="I181" s="33" t="n">
        <x:v>22.5</x:v>
      </x:c>
      <x:c r="J181" s="35" t="str">
        <x:v>Planning allowance; written quote needed</x:v>
      </x:c>
      <x:c r="K181" s="36" t="str">
        <x:v>ALLOW</x:v>
      </x:c>
      <x:c r="L181" s="37" t="n">
        <x:f>ROUND(E181*F181,2)</x:f>
        <x:v>345.6</x:v>
      </x:c>
      <x:c r="M181" s="37" t="n">
        <x:f>ROUND(E181*G181,2)</x:f>
        <x:v>432</x:v>
      </x:c>
      <x:c r="N181" s="37" t="n">
        <x:f>ROUND(E181*I181,2)</x:f>
        <x:v>540</x:v>
      </x:c>
      <x:c r="O181" s="18" t="str">
        <x:v>One-site first-year planning quantity; allowance unless source explicitly states rate. Low/high are -20%/+25% rate sensitivity, not observed market range.</x:v>
      </x:c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48" customHeight="1">
      <x:c r="A182" s="1" t="str">
        <x:v>OPS-069</x:v>
      </x:c>
      <x:c r="B182" s="1" t="str">
        <x:v>Daycare operations</x:v>
      </x:c>
      <x:c r="C182" s="18" t="str">
        <x:v>Laundry service or supplies</x:v>
      </x:c>
      <x:c r="D182" s="18" t="str">
        <x:v>month</x:v>
      </x:c>
      <x:c r="E182" s="32" t="n">
        <x:v>12</x:v>
      </x:c>
      <x:c r="F182" s="33" t="n">
        <x:v>40</x:v>
      </x:c>
      <x:c r="G182" s="33" t="n">
        <x:v>50</x:v>
      </x:c>
      <x:c r="H182" s="34" t="str">
        <x:v>recurring</x:v>
      </x:c>
      <x:c r="I182" s="33" t="n">
        <x:v>62.5</x:v>
      </x:c>
      <x:c r="J182" s="35" t="str">
        <x:v>Planning allowance; written quote needed</x:v>
      </x:c>
      <x:c r="K182" s="36" t="str">
        <x:v>ALLOW</x:v>
      </x:c>
      <x:c r="L182" s="37" t="n">
        <x:f>ROUND(E182*F182,2)</x:f>
        <x:v>480</x:v>
      </x:c>
      <x:c r="M182" s="37" t="n">
        <x:f>ROUND(E182*G182,2)</x:f>
        <x:v>600</x:v>
      </x:c>
      <x:c r="N182" s="37" t="n">
        <x:f>ROUND(E182*I182,2)</x:f>
        <x:v>750</x:v>
      </x:c>
      <x:c r="O182" s="18" t="str">
        <x:v>One-site first-year planning quantity; allowance unless source explicitly states rate. Low/high are -20%/+25% rate sensitivity, not observed market range.</x:v>
      </x:c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48" customHeight="1">
      <x:c r="A183" s="1" t="str">
        <x:v>OPS-070</x:v>
      </x:c>
      <x:c r="B183" s="1" t="str">
        <x:v>Daycare operations</x:v>
      </x:c>
      <x:c r="C183" s="18" t="str">
        <x:v>Alarm monitoring</x:v>
      </x:c>
      <x:c r="D183" s="18" t="str">
        <x:v>month</x:v>
      </x:c>
      <x:c r="E183" s="32" t="n">
        <x:v>12</x:v>
      </x:c>
      <x:c r="F183" s="33" t="n">
        <x:v>32</x:v>
      </x:c>
      <x:c r="G183" s="33" t="n">
        <x:v>40</x:v>
      </x:c>
      <x:c r="H183" s="34" t="str">
        <x:v>recurring</x:v>
      </x:c>
      <x:c r="I183" s="33" t="n">
        <x:v>50</x:v>
      </x:c>
      <x:c r="J183" s="35" t="str">
        <x:v>Planning allowance; written quote needed</x:v>
      </x:c>
      <x:c r="K183" s="36" t="str">
        <x:v>ALLOW</x:v>
      </x:c>
      <x:c r="L183" s="37" t="n">
        <x:f>ROUND(E183*F183,2)</x:f>
        <x:v>384</x:v>
      </x:c>
      <x:c r="M183" s="37" t="n">
        <x:f>ROUND(E183*G183,2)</x:f>
        <x:v>480</x:v>
      </x:c>
      <x:c r="N183" s="37" t="n">
        <x:f>ROUND(E183*I183,2)</x:f>
        <x:v>600</x:v>
      </x:c>
      <x:c r="O183" s="18" t="str">
        <x:v>One-site first-year planning quantity; allowance unless source explicitly states rate. Low/high are -20%/+25% rate sensitivity, not observed market range.</x:v>
      </x:c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48" customHeight="1">
      <x:c r="A184" s="1" t="str">
        <x:v>OPS-071</x:v>
      </x:c>
      <x:c r="B184" s="1" t="str">
        <x:v>Daycare operations</x:v>
      </x:c>
      <x:c r="C184" s="18" t="str">
        <x:v>Snow removal</x:v>
      </x:c>
      <x:c r="D184" s="18" t="str">
        <x:v>snow visit</x:v>
      </x:c>
      <x:c r="E184" s="32" t="n">
        <x:v>8</x:v>
      </x:c>
      <x:c r="F184" s="33" t="n">
        <x:v>120</x:v>
      </x:c>
      <x:c r="G184" s="33" t="n">
        <x:v>150</x:v>
      </x:c>
      <x:c r="H184" s="34" t="str">
        <x:v>recurring</x:v>
      </x:c>
      <x:c r="I184" s="33" t="n">
        <x:v>187.5</x:v>
      </x:c>
      <x:c r="J184" s="35" t="str">
        <x:v>Planning allowance; written quote needed</x:v>
      </x:c>
      <x:c r="K184" s="36" t="str">
        <x:v>ALLOW</x:v>
      </x:c>
      <x:c r="L184" s="37" t="n">
        <x:f>ROUND(E184*F184,2)</x:f>
        <x:v>960</x:v>
      </x:c>
      <x:c r="M184" s="37" t="n">
        <x:f>ROUND(E184*G184,2)</x:f>
        <x:v>1200</x:v>
      </x:c>
      <x:c r="N184" s="37" t="n">
        <x:f>ROUND(E184*I184,2)</x:f>
        <x:v>1500</x:v>
      </x:c>
      <x:c r="O184" s="18" t="str">
        <x:v>One-site first-year planning quantity; allowance unless source explicitly states rate. Low/high are -20%/+25% rate sensitivity, not observed market range.</x:v>
      </x:c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48" customHeight="1">
      <x:c r="A185" s="1" t="str">
        <x:v>OPS-072</x:v>
      </x:c>
      <x:c r="B185" s="1" t="str">
        <x:v>Daycare operations</x:v>
      </x:c>
      <x:c r="C185" s="18" t="str">
        <x:v>Lawn care</x:v>
      </x:c>
      <x:c r="D185" s="18" t="str">
        <x:v>lawn visit</x:v>
      </x:c>
      <x:c r="E185" s="32" t="n">
        <x:v>24</x:v>
      </x:c>
      <x:c r="F185" s="33" t="n">
        <x:v>48</x:v>
      </x:c>
      <x:c r="G185" s="33" t="n">
        <x:v>60</x:v>
      </x:c>
      <x:c r="H185" s="34" t="str">
        <x:v>recurring</x:v>
      </x:c>
      <x:c r="I185" s="33" t="n">
        <x:v>75</x:v>
      </x:c>
      <x:c r="J185" s="35" t="str">
        <x:v>Planning allowance; written quote needed</x:v>
      </x:c>
      <x:c r="K185" s="36" t="str">
        <x:v>ALLOW</x:v>
      </x:c>
      <x:c r="L185" s="37" t="n">
        <x:f>ROUND(E185*F185,2)</x:f>
        <x:v>1152</x:v>
      </x:c>
      <x:c r="M185" s="37" t="n">
        <x:f>ROUND(E185*G185,2)</x:f>
        <x:v>1440</x:v>
      </x:c>
      <x:c r="N185" s="37" t="n">
        <x:f>ROUND(E185*I185,2)</x:f>
        <x:v>1800</x:v>
      </x:c>
      <x:c r="O185" s="18" t="str">
        <x:v>One-site first-year planning quantity; allowance unless source explicitly states rate. Low/high are -20%/+25% rate sensitivity, not observed market range.</x:v>
      </x:c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48" customHeight="1">
      <x:c r="A186" s="1" t="str">
        <x:v>OPS-073</x:v>
      </x:c>
      <x:c r="B186" s="1" t="str">
        <x:v>Daycare operations</x:v>
      </x:c>
      <x:c r="C186" s="18" t="str">
        <x:v>Parking maintenance</x:v>
      </x:c>
      <x:c r="D186" s="18" t="str">
        <x:v>maintenance</x:v>
      </x:c>
      <x:c r="E186" s="32" t="n">
        <x:v>1</x:v>
      </x:c>
      <x:c r="F186" s="33" t="n">
        <x:v>400</x:v>
      </x:c>
      <x:c r="G186" s="33" t="n">
        <x:v>500</x:v>
      </x:c>
      <x:c r="H186" s="34" t="str">
        <x:v>recurring</x:v>
      </x:c>
      <x:c r="I186" s="33" t="n">
        <x:v>625</x:v>
      </x:c>
      <x:c r="J186" s="35" t="str">
        <x:v>Planning allowance; written quote needed</x:v>
      </x:c>
      <x:c r="K186" s="36" t="str">
        <x:v>ALLOW</x:v>
      </x:c>
      <x:c r="L186" s="37" t="n">
        <x:f>ROUND(E186*F186,2)</x:f>
        <x:v>400</x:v>
      </x:c>
      <x:c r="M186" s="37" t="n">
        <x:f>ROUND(E186*G186,2)</x:f>
        <x:v>500</x:v>
      </x:c>
      <x:c r="N186" s="37" t="n">
        <x:f>ROUND(E186*I186,2)</x:f>
        <x:v>625</x:v>
      </x:c>
      <x:c r="O186" s="18" t="str">
        <x:v>One-site first-year planning quantity; allowance unless source explicitly states rate. Low/high are -20%/+25% rate sensitivity, not observed market range.</x:v>
      </x:c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48" customHeight="1">
      <x:c r="A187" s="1" t="str">
        <x:v>OPS-075</x:v>
      </x:c>
      <x:c r="B187" s="1" t="str">
        <x:v>Daycare operations</x:v>
      </x:c>
      <x:c r="C187" s="18" t="str">
        <x:v>First aid kits</x:v>
      </x:c>
      <x:c r="D187" s="18" t="str">
        <x:v>kit</x:v>
      </x:c>
      <x:c r="E187" s="32" t="n">
        <x:v>4</x:v>
      </x:c>
      <x:c r="F187" s="33" t="n">
        <x:v>40</x:v>
      </x:c>
      <x:c r="G187" s="33" t="n">
        <x:v>50</x:v>
      </x:c>
      <x:c r="H187" s="34" t="str">
        <x:v>one_time</x:v>
      </x:c>
      <x:c r="I187" s="33" t="n">
        <x:v>62.5</x:v>
      </x:c>
      <x:c r="J187" s="35" t="str">
        <x:v>Planning allowance; written quote needed</x:v>
      </x:c>
      <x:c r="K187" s="36" t="str">
        <x:v>ALLOW</x:v>
      </x:c>
      <x:c r="L187" s="37" t="n">
        <x:f>ROUND(E187*F187,2)</x:f>
        <x:v>160</x:v>
      </x:c>
      <x:c r="M187" s="37" t="n">
        <x:f>ROUND(E187*G187,2)</x:f>
        <x:v>200</x:v>
      </x:c>
      <x:c r="N187" s="37" t="n">
        <x:f>ROUND(E187*I187,2)</x:f>
        <x:v>250</x:v>
      </x:c>
      <x:c r="O187" s="18" t="str">
        <x:v>One-site first-year planning quantity; allowance unless source explicitly states rate. Low/high are -20%/+25% rate sensitivity, not observed market range.</x:v>
      </x:c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48" customHeight="1">
      <x:c r="A188" s="1" t="str">
        <x:v>OPS-076</x:v>
      </x:c>
      <x:c r="B188" s="1" t="str">
        <x:v>Daycare operations</x:v>
      </x:c>
      <x:c r="C188" s="18" t="str">
        <x:v>First aid replenishment</x:v>
      </x:c>
      <x:c r="D188" s="18" t="str">
        <x:v>refill</x:v>
      </x:c>
      <x:c r="E188" s="32" t="n">
        <x:v>4</x:v>
      </x:c>
      <x:c r="F188" s="33" t="n">
        <x:v>24</x:v>
      </x:c>
      <x:c r="G188" s="33" t="n">
        <x:v>30</x:v>
      </x:c>
      <x:c r="H188" s="34" t="str">
        <x:v>recurring</x:v>
      </x:c>
      <x:c r="I188" s="33" t="n">
        <x:v>37.5</x:v>
      </x:c>
      <x:c r="J188" s="35" t="str">
        <x:v>Planning allowance; written quote needed</x:v>
      </x:c>
      <x:c r="K188" s="36" t="str">
        <x:v>ALLOW</x:v>
      </x:c>
      <x:c r="L188" s="37" t="n">
        <x:f>ROUND(E188*F188,2)</x:f>
        <x:v>96</x:v>
      </x:c>
      <x:c r="M188" s="37" t="n">
        <x:f>ROUND(E188*G188,2)</x:f>
        <x:v>120</x:v>
      </x:c>
      <x:c r="N188" s="37" t="n">
        <x:f>ROUND(E188*I188,2)</x:f>
        <x:v>150</x:v>
      </x:c>
      <x:c r="O188" s="18" t="str">
        <x:v>One-site first-year planning quantity; allowance unless source explicitly states rate. Low/high are -20%/+25% rate sensitivity, not observed market range.</x:v>
      </x:c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48" customHeight="1">
      <x:c r="A189" s="1" t="str">
        <x:v>OPS-077</x:v>
      </x:c>
      <x:c r="B189" s="1" t="str">
        <x:v>Daycare operations</x:v>
      </x:c>
      <x:c r="C189" s="18" t="str">
        <x:v>Fire extinguisher inspection</x:v>
      </x:c>
      <x:c r="D189" s="18" t="str">
        <x:v>inspection</x:v>
      </x:c>
      <x:c r="E189" s="32" t="n">
        <x:v>6</x:v>
      </x:c>
      <x:c r="F189" s="33" t="n">
        <x:v>20</x:v>
      </x:c>
      <x:c r="G189" s="33" t="n">
        <x:v>25</x:v>
      </x:c>
      <x:c r="H189" s="34" t="str">
        <x:v>recurring</x:v>
      </x:c>
      <x:c r="I189" s="33" t="n">
        <x:v>31.25</x:v>
      </x:c>
      <x:c r="J189" s="35" t="str">
        <x:v>Planning allowance; written quote needed</x:v>
      </x:c>
      <x:c r="K189" s="36" t="str">
        <x:v>ALLOW</x:v>
      </x:c>
      <x:c r="L189" s="37" t="n">
        <x:f>ROUND(E189*F189,2)</x:f>
        <x:v>120</x:v>
      </x:c>
      <x:c r="M189" s="37" t="n">
        <x:f>ROUND(E189*G189,2)</x:f>
        <x:v>150</x:v>
      </x:c>
      <x:c r="N189" s="37" t="n">
        <x:f>ROUND(E189*I189,2)</x:f>
        <x:v>187.5</x:v>
      </x:c>
      <x:c r="O189" s="18" t="str">
        <x:v>One-site first-year planning quantity; allowance unless source explicitly states rate. Low/high are -20%/+25% rate sensitivity, not observed market range.</x:v>
      </x:c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48" customHeight="1">
      <x:c r="A190" s="1" t="str">
        <x:v>OPS-078</x:v>
      </x:c>
      <x:c r="B190" s="1" t="str">
        <x:v>Daycare operations</x:v>
      </x:c>
      <x:c r="C190" s="18" t="str">
        <x:v>Smoke detectors</x:v>
      </x:c>
      <x:c r="D190" s="18" t="str">
        <x:v>detector</x:v>
      </x:c>
      <x:c r="E190" s="32" t="n">
        <x:v>8</x:v>
      </x:c>
      <x:c r="F190" s="33" t="n">
        <x:v>20</x:v>
      </x:c>
      <x:c r="G190" s="33" t="n">
        <x:v>25</x:v>
      </x:c>
      <x:c r="H190" s="34" t="str">
        <x:v>one_time</x:v>
      </x:c>
      <x:c r="I190" s="33" t="n">
        <x:v>31.25</x:v>
      </x:c>
      <x:c r="J190" s="35" t="str">
        <x:v>Planning allowance; written quote needed</x:v>
      </x:c>
      <x:c r="K190" s="36" t="str">
        <x:v>ALLOW</x:v>
      </x:c>
      <x:c r="L190" s="37" t="n">
        <x:f>ROUND(E190*F190,2)</x:f>
        <x:v>160</x:v>
      </x:c>
      <x:c r="M190" s="37" t="n">
        <x:f>ROUND(E190*G190,2)</x:f>
        <x:v>200</x:v>
      </x:c>
      <x:c r="N190" s="37" t="n">
        <x:f>ROUND(E190*I190,2)</x:f>
        <x:v>250</x:v>
      </x:c>
      <x:c r="O190" s="18" t="str">
        <x:v>One-site first-year planning quantity; allowance unless source explicitly states rate. Low/high are -20%/+25% rate sensitivity, not observed market range.</x:v>
      </x:c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48" customHeight="1">
      <x:c r="A191" s="1" t="str">
        <x:v>OPS-079</x:v>
      </x:c>
      <x:c r="B191" s="1" t="str">
        <x:v>Daycare operations</x:v>
      </x:c>
      <x:c r="C191" s="18" t="str">
        <x:v>Carbon monoxide detectors</x:v>
      </x:c>
      <x:c r="D191" s="18" t="str">
        <x:v>detector</x:v>
      </x:c>
      <x:c r="E191" s="32" t="n">
        <x:v>4</x:v>
      </x:c>
      <x:c r="F191" s="33" t="n">
        <x:v>28</x:v>
      </x:c>
      <x:c r="G191" s="33" t="n">
        <x:v>35</x:v>
      </x:c>
      <x:c r="H191" s="34" t="str">
        <x:v>one_time</x:v>
      </x:c>
      <x:c r="I191" s="33" t="n">
        <x:v>43.75</x:v>
      </x:c>
      <x:c r="J191" s="35" t="str">
        <x:v>Planning allowance; written quote needed</x:v>
      </x:c>
      <x:c r="K191" s="36" t="str">
        <x:v>ALLOW</x:v>
      </x:c>
      <x:c r="L191" s="37" t="n">
        <x:f>ROUND(E191*F191,2)</x:f>
        <x:v>112</x:v>
      </x:c>
      <x:c r="M191" s="37" t="n">
        <x:f>ROUND(E191*G191,2)</x:f>
        <x:v>140</x:v>
      </x:c>
      <x:c r="N191" s="37" t="n">
        <x:f>ROUND(E191*I191,2)</x:f>
        <x:v>175</x:v>
      </x:c>
      <x:c r="O191" s="18" t="str">
        <x:v>One-site first-year planning quantity; allowance unless source explicitly states rate. Low/high are -20%/+25% rate sensitivity, not observed market range.</x:v>
      </x:c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48" customHeight="1">
      <x:c r="A192" s="1" t="str">
        <x:v>OPS-080</x:v>
      </x:c>
      <x:c r="B192" s="1" t="str">
        <x:v>Daycare operations</x:v>
      </x:c>
      <x:c r="C192" s="18" t="str">
        <x:v>Emergency lighting</x:v>
      </x:c>
      <x:c r="D192" s="18" t="str">
        <x:v>unit</x:v>
      </x:c>
      <x:c r="E192" s="32" t="n">
        <x:v>4</x:v>
      </x:c>
      <x:c r="F192" s="33" t="n">
        <x:v>64</x:v>
      </x:c>
      <x:c r="G192" s="33" t="n">
        <x:v>80</x:v>
      </x:c>
      <x:c r="H192" s="34" t="str">
        <x:v>one_time</x:v>
      </x:c>
      <x:c r="I192" s="33" t="n">
        <x:v>100</x:v>
      </x:c>
      <x:c r="J192" s="35" t="str">
        <x:v>Planning allowance; written quote needed</x:v>
      </x:c>
      <x:c r="K192" s="36" t="str">
        <x:v>ALLOW</x:v>
      </x:c>
      <x:c r="L192" s="37" t="n">
        <x:f>ROUND(E192*F192,2)</x:f>
        <x:v>256</x:v>
      </x:c>
      <x:c r="M192" s="37" t="n">
        <x:f>ROUND(E192*G192,2)</x:f>
        <x:v>320</x:v>
      </x:c>
      <x:c r="N192" s="37" t="n">
        <x:f>ROUND(E192*I192,2)</x:f>
        <x:v>400</x:v>
      </x:c>
      <x:c r="O192" s="18" t="str">
        <x:v>One-site first-year planning quantity; allowance unless source explicitly states rate. Low/high are -20%/+25% rate sensitivity, not observed market range.</x:v>
      </x:c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48" customHeight="1">
      <x:c r="A193" s="1" t="str">
        <x:v>OPS-081</x:v>
      </x:c>
      <x:c r="B193" s="1" t="str">
        <x:v>Daycare operations</x:v>
      </x:c>
      <x:c r="C193" s="18" t="str">
        <x:v>PPE</x:v>
      </x:c>
      <x:c r="D193" s="18" t="str">
        <x:v>month</x:v>
      </x:c>
      <x:c r="E193" s="32" t="n">
        <x:v>12</x:v>
      </x:c>
      <x:c r="F193" s="33" t="n">
        <x:v>16</x:v>
      </x:c>
      <x:c r="G193" s="33" t="n">
        <x:v>20</x:v>
      </x:c>
      <x:c r="H193" s="34" t="str">
        <x:v>recurring</x:v>
      </x:c>
      <x:c r="I193" s="33" t="n">
        <x:v>25</x:v>
      </x:c>
      <x:c r="J193" s="35" t="str">
        <x:v>Planning allowance; written quote needed</x:v>
      </x:c>
      <x:c r="K193" s="36" t="str">
        <x:v>ALLOW</x:v>
      </x:c>
      <x:c r="L193" s="37" t="n">
        <x:f>ROUND(E193*F193,2)</x:f>
        <x:v>192</x:v>
      </x:c>
      <x:c r="M193" s="37" t="n">
        <x:f>ROUND(E193*G193,2)</x:f>
        <x:v>240</x:v>
      </x:c>
      <x:c r="N193" s="37" t="n">
        <x:f>ROUND(E193*I193,2)</x:f>
        <x:v>300</x:v>
      </x:c>
      <x:c r="O193" s="18" t="str">
        <x:v>One-site first-year planning quantity; allowance unless source explicitly states rate. Low/high are -20%/+25% rate sensitivity, not observed market range.</x:v>
      </x:c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48" customHeight="1">
      <x:c r="A194" s="1" t="str">
        <x:v>OPS-082</x:v>
      </x:c>
      <x:c r="B194" s="1" t="str">
        <x:v>Daycare operations</x:v>
      </x:c>
      <x:c r="C194" s="18" t="str">
        <x:v>Incident report supplies</x:v>
      </x:c>
      <x:c r="D194" s="18" t="str">
        <x:v>report pack</x:v>
      </x:c>
      <x:c r="E194" s="32" t="n">
        <x:v>4</x:v>
      </x:c>
      <x:c r="F194" s="33" t="n">
        <x:v>20</x:v>
      </x:c>
      <x:c r="G194" s="33" t="n">
        <x:v>25</x:v>
      </x:c>
      <x:c r="H194" s="34" t="str">
        <x:v>recurring</x:v>
      </x:c>
      <x:c r="I194" s="33" t="n">
        <x:v>31.25</x:v>
      </x:c>
      <x:c r="J194" s="35" t="str">
        <x:v>Planning allowance; written quote needed</x:v>
      </x:c>
      <x:c r="K194" s="36" t="str">
        <x:v>ALLOW</x:v>
      </x:c>
      <x:c r="L194" s="37" t="n">
        <x:f>ROUND(E194*F194,2)</x:f>
        <x:v>80</x:v>
      </x:c>
      <x:c r="M194" s="37" t="n">
        <x:f>ROUND(E194*G194,2)</x:f>
        <x:v>100</x:v>
      </x:c>
      <x:c r="N194" s="37" t="n">
        <x:f>ROUND(E194*I194,2)</x:f>
        <x:v>125</x:v>
      </x:c>
      <x:c r="O194" s="18" t="str">
        <x:v>One-site first-year planning quantity; allowance unless source explicitly states rate. Low/high are -20%/+25% rate sensitivity, not observed market range.</x:v>
      </x:c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48" customHeight="1">
      <x:c r="A195" s="1" t="str">
        <x:v>OPS-083</x:v>
      </x:c>
      <x:c r="B195" s="1" t="str">
        <x:v>Daycare operations</x:v>
      </x:c>
      <x:c r="C195" s="18" t="str">
        <x:v>Emergency drills and materials</x:v>
      </x:c>
      <x:c r="D195" s="18" t="str">
        <x:v>drill supplies</x:v>
      </x:c>
      <x:c r="E195" s="32" t="n">
        <x:v>4</x:v>
      </x:c>
      <x:c r="F195" s="33" t="n">
        <x:v>40</x:v>
      </x:c>
      <x:c r="G195" s="33" t="n">
        <x:v>50</x:v>
      </x:c>
      <x:c r="H195" s="34" t="str">
        <x:v>recurring</x:v>
      </x:c>
      <x:c r="I195" s="33" t="n">
        <x:v>62.5</x:v>
      </x:c>
      <x:c r="J195" s="35" t="str">
        <x:v>Planning allowance; written quote needed</x:v>
      </x:c>
      <x:c r="K195" s="36" t="str">
        <x:v>ALLOW</x:v>
      </x:c>
      <x:c r="L195" s="37" t="n">
        <x:f>ROUND(E195*F195,2)</x:f>
        <x:v>160</x:v>
      </x:c>
      <x:c r="M195" s="37" t="n">
        <x:f>ROUND(E195*G195,2)</x:f>
        <x:v>200</x:v>
      </x:c>
      <x:c r="N195" s="37" t="n">
        <x:f>ROUND(E195*I195,2)</x:f>
        <x:v>250</x:v>
      </x:c>
      <x:c r="O195" s="18" t="str">
        <x:v>One-site first-year planning quantity; allowance unless source explicitly states rate. Low/high are -20%/+25% rate sensitivity, not observed market range.</x:v>
      </x:c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48" customHeight="1">
      <x:c r="A196" s="1" t="str">
        <x:v>OPS-085</x:v>
      </x:c>
      <x:c r="B196" s="1" t="str">
        <x:v>Daycare operations</x:v>
      </x:c>
      <x:c r="C196" s="18" t="str">
        <x:v>Camera maintenance</x:v>
      </x:c>
      <x:c r="D196" s="18" t="str">
        <x:v>annual service</x:v>
      </x:c>
      <x:c r="E196" s="32" t="n">
        <x:v>1</x:v>
      </x:c>
      <x:c r="F196" s="33" t="n">
        <x:v>240</x:v>
      </x:c>
      <x:c r="G196" s="33" t="n">
        <x:v>300</x:v>
      </x:c>
      <x:c r="H196" s="34" t="str">
        <x:v>recurring</x:v>
      </x:c>
      <x:c r="I196" s="33" t="n">
        <x:v>375</x:v>
      </x:c>
      <x:c r="J196" s="35" t="str">
        <x:v>Planning allowance; written quote needed</x:v>
      </x:c>
      <x:c r="K196" s="36" t="str">
        <x:v>ALLOW</x:v>
      </x:c>
      <x:c r="L196" s="37" t="n">
        <x:f>ROUND(E196*F196,2)</x:f>
        <x:v>240</x:v>
      </x:c>
      <x:c r="M196" s="37" t="n">
        <x:f>ROUND(E196*G196,2)</x:f>
        <x:v>300</x:v>
      </x:c>
      <x:c r="N196" s="37" t="n">
        <x:f>ROUND(E196*I196,2)</x:f>
        <x:v>375</x:v>
      </x:c>
      <x:c r="O196" s="18" t="str">
        <x:v>One-site first-year planning quantity; allowance unless source explicitly states rate. Low/high are -20%/+25% rate sensitivity, not observed market range.</x:v>
      </x:c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48" customHeight="1">
      <x:c r="A197" s="1" t="str">
        <x:v>OPS-086</x:v>
      </x:c>
      <x:c r="B197" s="1" t="str">
        <x:v>Daycare operations</x:v>
      </x:c>
      <x:c r="C197" s="18" t="str">
        <x:v>Access control maintenance</x:v>
      </x:c>
      <x:c r="D197" s="18" t="str">
        <x:v>annual service</x:v>
      </x:c>
      <x:c r="E197" s="32" t="n">
        <x:v>1</x:v>
      </x:c>
      <x:c r="F197" s="33" t="n">
        <x:v>240</x:v>
      </x:c>
      <x:c r="G197" s="33" t="n">
        <x:v>300</x:v>
      </x:c>
      <x:c r="H197" s="34" t="str">
        <x:v>recurring</x:v>
      </x:c>
      <x:c r="I197" s="33" t="n">
        <x:v>375</x:v>
      </x:c>
      <x:c r="J197" s="35" t="str">
        <x:v>Planning allowance; written quote needed</x:v>
      </x:c>
      <x:c r="K197" s="36" t="str">
        <x:v>ALLOW</x:v>
      </x:c>
      <x:c r="L197" s="37" t="n">
        <x:f>ROUND(E197*F197,2)</x:f>
        <x:v>240</x:v>
      </x:c>
      <x:c r="M197" s="37" t="n">
        <x:f>ROUND(E197*G197,2)</x:f>
        <x:v>300</x:v>
      </x:c>
      <x:c r="N197" s="37" t="n">
        <x:f>ROUND(E197*I197,2)</x:f>
        <x:v>375</x:v>
      </x:c>
      <x:c r="O197" s="18" t="str">
        <x:v>One-site first-year planning quantity; allowance unless source explicitly states rate. Low/high are -20%/+25% rate sensitivity, not observed market range.</x:v>
      </x:c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48" customHeight="1">
      <x:c r="A198" s="1" t="str">
        <x:v>OPS-087</x:v>
      </x:c>
      <x:c r="B198" s="1" t="str">
        <x:v>Daycare operations</x:v>
      </x:c>
      <x:c r="C198" s="18" t="str">
        <x:v>Visitor sign-in supplies</x:v>
      </x:c>
      <x:c r="D198" s="18" t="str">
        <x:v>logbook</x:v>
      </x:c>
      <x:c r="E198" s="32" t="n">
        <x:v>4</x:v>
      </x:c>
      <x:c r="F198" s="33" t="n">
        <x:v>16</x:v>
      </x:c>
      <x:c r="G198" s="33" t="n">
        <x:v>20</x:v>
      </x:c>
      <x:c r="H198" s="34" t="str">
        <x:v>one_time</x:v>
      </x:c>
      <x:c r="I198" s="33" t="n">
        <x:v>25</x:v>
      </x:c>
      <x:c r="J198" s="35" t="str">
        <x:v>Planning allowance; written quote needed</x:v>
      </x:c>
      <x:c r="K198" s="36" t="str">
        <x:v>ALLOW</x:v>
      </x:c>
      <x:c r="L198" s="37" t="n">
        <x:f>ROUND(E198*F198,2)</x:f>
        <x:v>64</x:v>
      </x:c>
      <x:c r="M198" s="37" t="n">
        <x:f>ROUND(E198*G198,2)</x:f>
        <x:v>80</x:v>
      </x:c>
      <x:c r="N198" s="37" t="n">
        <x:f>ROUND(E198*I198,2)</x:f>
        <x:v>100</x:v>
      </x:c>
      <x:c r="O198" s="18" t="str">
        <x:v>One-site first-year planning quantity; allowance unless source explicitly states rate. Low/high are -20%/+25% rate sensitivity, not observed market range.</x:v>
      </x:c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48" customHeight="1">
      <x:c r="A199" s="1" t="str">
        <x:v>OPS-088</x:v>
      </x:c>
      <x:c r="B199" s="1" t="str">
        <x:v>Daycare operations</x:v>
      </x:c>
      <x:c r="C199" s="18" t="str">
        <x:v>Medication storage</x:v>
      </x:c>
      <x:c r="D199" s="18" t="str">
        <x:v>locking cabinet</x:v>
      </x:c>
      <x:c r="E199" s="32" t="n">
        <x:v>2</x:v>
      </x:c>
      <x:c r="F199" s="33" t="n">
        <x:v>64</x:v>
      </x:c>
      <x:c r="G199" s="33" t="n">
        <x:v>80</x:v>
      </x:c>
      <x:c r="H199" s="34" t="str">
        <x:v>one_time</x:v>
      </x:c>
      <x:c r="I199" s="33" t="n">
        <x:v>100</x:v>
      </x:c>
      <x:c r="J199" s="35" t="str">
        <x:v>Planning allowance; written quote needed</x:v>
      </x:c>
      <x:c r="K199" s="36" t="str">
        <x:v>ALLOW</x:v>
      </x:c>
      <x:c r="L199" s="37" t="n">
        <x:f>ROUND(E199*F199,2)</x:f>
        <x:v>128</x:v>
      </x:c>
      <x:c r="M199" s="37" t="n">
        <x:f>ROUND(E199*G199,2)</x:f>
        <x:v>160</x:v>
      </x:c>
      <x:c r="N199" s="37" t="n">
        <x:f>ROUND(E199*I199,2)</x:f>
        <x:v>200</x:v>
      </x:c>
      <x:c r="O199" s="18" t="str">
        <x:v>One-site first-year planning quantity; allowance unless source explicitly states rate. Low/high are -20%/+25% rate sensitivity, not observed market range.</x:v>
      </x:c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48" customHeight="1">
      <x:c r="A200" s="1" t="str">
        <x:v>OPS-089</x:v>
      </x:c>
      <x:c r="B200" s="1" t="str">
        <x:v>Daycare operations</x:v>
      </x:c>
      <x:c r="C200" s="18" t="str">
        <x:v>Sharps disposal</x:v>
      </x:c>
      <x:c r="D200" s="18" t="str">
        <x:v>disposal</x:v>
      </x:c>
      <x:c r="E200" s="32" t="n">
        <x:v>4</x:v>
      </x:c>
      <x:c r="F200" s="33" t="n">
        <x:v>24</x:v>
      </x:c>
      <x:c r="G200" s="33" t="n">
        <x:v>30</x:v>
      </x:c>
      <x:c r="H200" s="34" t="str">
        <x:v>recurring</x:v>
      </x:c>
      <x:c r="I200" s="33" t="n">
        <x:v>37.5</x:v>
      </x:c>
      <x:c r="J200" s="35" t="str">
        <x:v>Planning allowance; written quote needed</x:v>
      </x:c>
      <x:c r="K200" s="36" t="str">
        <x:v>ALLOW</x:v>
      </x:c>
      <x:c r="L200" s="37" t="n">
        <x:f>ROUND(E200*F200,2)</x:f>
        <x:v>96</x:v>
      </x:c>
      <x:c r="M200" s="37" t="n">
        <x:f>ROUND(E200*G200,2)</x:f>
        <x:v>120</x:v>
      </x:c>
      <x:c r="N200" s="37" t="n">
        <x:f>ROUND(E200*I200,2)</x:f>
        <x:v>150</x:v>
      </x:c>
      <x:c r="O200" s="18" t="str">
        <x:v>One-site first-year planning quantity; allowance unless source explicitly states rate. Low/high are -20%/+25% rate sensitivity, not observed market range.</x:v>
      </x:c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48" customHeight="1">
      <x:c r="A201" s="1" t="str">
        <x:v>OPS-090</x:v>
      </x:c>
      <x:c r="B201" s="1" t="str">
        <x:v>Daycare operations</x:v>
      </x:c>
      <x:c r="C201" s="18" t="str">
        <x:v>Water testing</x:v>
      </x:c>
      <x:c r="D201" s="18" t="str">
        <x:v>test</x:v>
      </x:c>
      <x:c r="E201" s="32" t="n">
        <x:v>1</x:v>
      </x:c>
      <x:c r="F201" s="33" t="n">
        <x:v>200</x:v>
      </x:c>
      <x:c r="G201" s="33" t="n">
        <x:v>250</x:v>
      </x:c>
      <x:c r="H201" s="34" t="str">
        <x:v>recurring</x:v>
      </x:c>
      <x:c r="I201" s="33" t="n">
        <x:v>312.5</x:v>
      </x:c>
      <x:c r="J201" s="35" t="str">
        <x:v>Planning allowance; written quote needed</x:v>
      </x:c>
      <x:c r="K201" s="36" t="str">
        <x:v>ALLOW</x:v>
      </x:c>
      <x:c r="L201" s="37" t="n">
        <x:f>ROUND(E201*F201,2)</x:f>
        <x:v>200</x:v>
      </x:c>
      <x:c r="M201" s="37" t="n">
        <x:f>ROUND(E201*G201,2)</x:f>
        <x:v>250</x:v>
      </x:c>
      <x:c r="N201" s="37" t="n">
        <x:f>ROUND(E201*I201,2)</x:f>
        <x:v>312.5</x:v>
      </x:c>
      <x:c r="O201" s="18" t="str">
        <x:v>One-site first-year planning quantity; allowance unless source explicitly states rate. Low/high are -20%/+25% rate sensitivity, not observed market range.</x:v>
      </x:c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48" customHeight="1">
      <x:c r="A202" s="1" t="str">
        <x:v>OPS-091</x:v>
      </x:c>
      <x:c r="B202" s="1" t="str">
        <x:v>Daycare operations</x:v>
      </x:c>
      <x:c r="C202" s="18" t="str">
        <x:v>Indoor air testing</x:v>
      </x:c>
      <x:c r="D202" s="18" t="str">
        <x:v>test</x:v>
      </x:c>
      <x:c r="E202" s="32" t="n">
        <x:v>1</x:v>
      </x:c>
      <x:c r="F202" s="33" t="n">
        <x:v>400</x:v>
      </x:c>
      <x:c r="G202" s="33" t="n">
        <x:v>500</x:v>
      </x:c>
      <x:c r="H202" s="34" t="str">
        <x:v>recurring</x:v>
      </x:c>
      <x:c r="I202" s="33" t="n">
        <x:v>625</x:v>
      </x:c>
      <x:c r="J202" s="35" t="str">
        <x:v>Planning allowance; written quote needed</x:v>
      </x:c>
      <x:c r="K202" s="36" t="str">
        <x:v>ALLOW</x:v>
      </x:c>
      <x:c r="L202" s="37" t="n">
        <x:f>ROUND(E202*F202,2)</x:f>
        <x:v>400</x:v>
      </x:c>
      <x:c r="M202" s="37" t="n">
        <x:f>ROUND(E202*G202,2)</x:f>
        <x:v>500</x:v>
      </x:c>
      <x:c r="N202" s="37" t="n">
        <x:f>ROUND(E202*I202,2)</x:f>
        <x:v>625</x:v>
      </x:c>
      <x:c r="O202" s="18" t="str">
        <x:v>One-site first-year planning quantity; allowance unless source explicitly states rate. Low/high are -20%/+25% rate sensitivity, not observed market range.</x:v>
      </x:c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48" customHeight="1">
      <x:c r="A203" s="1" t="str">
        <x:v>OPS-092</x:v>
      </x:c>
      <x:c r="B203" s="1" t="str">
        <x:v>Daycare operations</x:v>
      </x:c>
      <x:c r="C203" s="18" t="str">
        <x:v>Playground inspection</x:v>
      </x:c>
      <x:c r="D203" s="18" t="str">
        <x:v>inspection</x:v>
      </x:c>
      <x:c r="E203" s="32" t="n">
        <x:v>1</x:v>
      </x:c>
      <x:c r="F203" s="33" t="n">
        <x:v>600</x:v>
      </x:c>
      <x:c r="G203" s="33" t="n">
        <x:v>750</x:v>
      </x:c>
      <x:c r="H203" s="34" t="str">
        <x:v>recurring</x:v>
      </x:c>
      <x:c r="I203" s="33" t="n">
        <x:v>937.5</x:v>
      </x:c>
      <x:c r="J203" s="35" t="str">
        <x:v>Planning allowance; written quote needed</x:v>
      </x:c>
      <x:c r="K203" s="36" t="str">
        <x:v>ALLOW</x:v>
      </x:c>
      <x:c r="L203" s="37" t="n">
        <x:f>ROUND(E203*F203,2)</x:f>
        <x:v>600</x:v>
      </x:c>
      <x:c r="M203" s="37" t="n">
        <x:f>ROUND(E203*G203,2)</x:f>
        <x:v>750</x:v>
      </x:c>
      <x:c r="N203" s="37" t="n">
        <x:f>ROUND(E203*I203,2)</x:f>
        <x:v>937.5</x:v>
      </x:c>
      <x:c r="O203" s="18" t="str">
        <x:v>One-site first-year planning quantity; allowance unless source explicitly states rate. Low/high are -20%/+25% rate sensitivity, not observed market range.</x:v>
      </x:c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48" customHeight="1">
      <x:c r="A204" s="1" t="str">
        <x:v>OPS-093</x:v>
      </x:c>
      <x:c r="B204" s="1" t="str">
        <x:v>Daycare operations</x:v>
      </x:c>
      <x:c r="C204" s="18" t="str">
        <x:v>Child-size tables</x:v>
      </x:c>
      <x:c r="D204" s="18" t="str">
        <x:v>table</x:v>
      </x:c>
      <x:c r="E204" s="32" t="n">
        <x:v>8</x:v>
      </x:c>
      <x:c r="F204" s="33" t="n">
        <x:v>200</x:v>
      </x:c>
      <x:c r="G204" s="33" t="n">
        <x:v>250</x:v>
      </x:c>
      <x:c r="H204" s="34" t="str">
        <x:v>one_time</x:v>
      </x:c>
      <x:c r="I204" s="33" t="n">
        <x:v>312.5</x:v>
      </x:c>
      <x:c r="J204" s="35" t="str">
        <x:v>Planning allowance; written quote needed</x:v>
      </x:c>
      <x:c r="K204" s="36" t="str">
        <x:v>ALLOW</x:v>
      </x:c>
      <x:c r="L204" s="37" t="n">
        <x:f>ROUND(E204*F204,2)</x:f>
        <x:v>1600</x:v>
      </x:c>
      <x:c r="M204" s="37" t="n">
        <x:f>ROUND(E204*G204,2)</x:f>
        <x:v>2000</x:v>
      </x:c>
      <x:c r="N204" s="37" t="n">
        <x:f>ROUND(E204*I204,2)</x:f>
        <x:v>2500</x:v>
      </x:c>
      <x:c r="O204" s="18" t="str">
        <x:v>40 children × 260 days = 10,400 child-days. Supplies/equipment assume purchase until physical inventory is reconciled. Low/high are -20%/+25% rate sensitivity, not observed market range.</x:v>
      </x:c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48" customHeight="1">
      <x:c r="A205" s="1" t="str">
        <x:v>OPS-094</x:v>
      </x:c>
      <x:c r="B205" s="1" t="str">
        <x:v>Daycare operations</x:v>
      </x:c>
      <x:c r="C205" s="18" t="str">
        <x:v>Child-size chairs</x:v>
      </x:c>
      <x:c r="D205" s="18" t="str">
        <x:v>chair</x:v>
      </x:c>
      <x:c r="E205" s="32" t="n">
        <x:v>48</x:v>
      </x:c>
      <x:c r="F205" s="33" t="n">
        <x:v>36</x:v>
      </x:c>
      <x:c r="G205" s="33" t="n">
        <x:v>45</x:v>
      </x:c>
      <x:c r="H205" s="34" t="str">
        <x:v>one_time</x:v>
      </x:c>
      <x:c r="I205" s="33" t="n">
        <x:v>56.25</x:v>
      </x:c>
      <x:c r="J205" s="35" t="str">
        <x:v>Planning allowance; written quote needed</x:v>
      </x:c>
      <x:c r="K205" s="36" t="str">
        <x:v>ALLOW</x:v>
      </x:c>
      <x:c r="L205" s="37" t="n">
        <x:f>ROUND(E205*F205,2)</x:f>
        <x:v>1728</x:v>
      </x:c>
      <x:c r="M205" s="37" t="n">
        <x:f>ROUND(E205*G205,2)</x:f>
        <x:v>2160</x:v>
      </x:c>
      <x:c r="N205" s="37" t="n">
        <x:f>ROUND(E205*I205,2)</x:f>
        <x:v>2700</x:v>
      </x:c>
      <x:c r="O205" s="18" t="str">
        <x:v>40 children × 260 days = 10,400 child-days. Supplies/equipment assume purchase until physical inventory is reconciled. Low/high are -20%/+25% rate sensitivity, not observed market range.</x:v>
      </x:c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48" customHeight="1">
      <x:c r="A206" s="1" t="str">
        <x:v>OPS-095</x:v>
      </x:c>
      <x:c r="B206" s="1" t="str">
        <x:v>Daycare operations</x:v>
      </x:c>
      <x:c r="C206" s="18" t="str">
        <x:v>Cubbies</x:v>
      </x:c>
      <x:c r="D206" s="18" t="str">
        <x:v>cubby unit</x:v>
      </x:c>
      <x:c r="E206" s="32" t="n">
        <x:v>4</x:v>
      </x:c>
      <x:c r="F206" s="33" t="n">
        <x:v>400</x:v>
      </x:c>
      <x:c r="G206" s="33" t="n">
        <x:v>500</x:v>
      </x:c>
      <x:c r="H206" s="34" t="str">
        <x:v>one_time</x:v>
      </x:c>
      <x:c r="I206" s="33" t="n">
        <x:v>625</x:v>
      </x:c>
      <x:c r="J206" s="35" t="str">
        <x:v>Planning allowance; written quote needed</x:v>
      </x:c>
      <x:c r="K206" s="36" t="str">
        <x:v>ALLOW</x:v>
      </x:c>
      <x:c r="L206" s="37" t="n">
        <x:f>ROUND(E206*F206,2)</x:f>
        <x:v>1600</x:v>
      </x:c>
      <x:c r="M206" s="37" t="n">
        <x:f>ROUND(E206*G206,2)</x:f>
        <x:v>2000</x:v>
      </x:c>
      <x:c r="N206" s="37" t="n">
        <x:f>ROUND(E206*I206,2)</x:f>
        <x:v>2500</x:v>
      </x:c>
      <x:c r="O206" s="18" t="str">
        <x:v>40 children × 260 days = 10,400 child-days. Supplies/equipment assume purchase until physical inventory is reconciled. Low/high are -20%/+25% rate sensitivity, not observed market range.</x:v>
      </x:c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48" customHeight="1">
      <x:c r="A207" s="1" t="str">
        <x:v>OPS-096</x:v>
      </x:c>
      <x:c r="B207" s="1" t="str">
        <x:v>Daycare operations</x:v>
      </x:c>
      <x:c r="C207" s="18" t="str">
        <x:v>Bookshelves</x:v>
      </x:c>
      <x:c r="D207" s="18" t="str">
        <x:v>shelf</x:v>
      </x:c>
      <x:c r="E207" s="32" t="n">
        <x:v>4</x:v>
      </x:c>
      <x:c r="F207" s="33" t="n">
        <x:v>200</x:v>
      </x:c>
      <x:c r="G207" s="33" t="n">
        <x:v>250</x:v>
      </x:c>
      <x:c r="H207" s="34" t="str">
        <x:v>one_time</x:v>
      </x:c>
      <x:c r="I207" s="33" t="n">
        <x:v>312.5</x:v>
      </x:c>
      <x:c r="J207" s="35" t="str">
        <x:v>Planning allowance; written quote needed</x:v>
      </x:c>
      <x:c r="K207" s="36" t="str">
        <x:v>ALLOW</x:v>
      </x:c>
      <x:c r="L207" s="37" t="n">
        <x:f>ROUND(E207*F207,2)</x:f>
        <x:v>800</x:v>
      </x:c>
      <x:c r="M207" s="37" t="n">
        <x:f>ROUND(E207*G207,2)</x:f>
        <x:v>1000</x:v>
      </x:c>
      <x:c r="N207" s="37" t="n">
        <x:f>ROUND(E207*I207,2)</x:f>
        <x:v>1250</x:v>
      </x:c>
      <x:c r="O207" s="18" t="str">
        <x:v>40 children × 260 days = 10,400 child-days. Supplies/equipment assume purchase until physical inventory is reconciled. Low/high are -20%/+25% rate sensitivity, not observed market range.</x:v>
      </x:c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48" customHeight="1">
      <x:c r="A208" s="1" t="str">
        <x:v>OPS-097</x:v>
      </x:c>
      <x:c r="B208" s="1" t="str">
        <x:v>Daycare operations</x:v>
      </x:c>
      <x:c r="C208" s="18" t="str">
        <x:v>Rugs and learning-zone carpets</x:v>
      </x:c>
      <x:c r="D208" s="18" t="str">
        <x:v>pilot rug</x:v>
      </x:c>
      <x:c r="E208" s="32" t="n">
        <x:v>4</x:v>
      </x:c>
      <x:c r="F208" s="33" t="n">
        <x:v>280</x:v>
      </x:c>
      <x:c r="G208" s="33" t="n">
        <x:v>350</x:v>
      </x:c>
      <x:c r="H208" s="34" t="str">
        <x:v>one_time</x:v>
      </x:c>
      <x:c r="I208" s="33" t="n">
        <x:v>437.5</x:v>
      </x:c>
      <x:c r="J208" s="35" t="str">
        <x:v>Planning allowance; written quote needed</x:v>
      </x:c>
      <x:c r="K208" s="36" t="str">
        <x:v>ALLOW</x:v>
      </x:c>
      <x:c r="L208" s="37" t="n">
        <x:f>ROUND(E208*F208,2)</x:f>
        <x:v>1120</x:v>
      </x:c>
      <x:c r="M208" s="37" t="n">
        <x:f>ROUND(E208*G208,2)</x:f>
        <x:v>1400</x:v>
      </x:c>
      <x:c r="N208" s="37" t="n">
        <x:f>ROUND(E208*I208,2)</x:f>
        <x:v>1750</x:v>
      </x:c>
      <x:c r="O208" s="18" t="str">
        <x:v>40 children × 260 days = 10,400 child-days. Supplies/equipment assume purchase until physical inventory is reconciled. Low/high are -20%/+25% rate sensitivity, not observed market range.</x:v>
      </x:c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48" customHeight="1">
      <x:c r="A209" s="1" t="str">
        <x:v>OPS-098</x:v>
      </x:c>
      <x:c r="B209" s="1" t="str">
        <x:v>Daycare operations</x:v>
      </x:c>
      <x:c r="C209" s="18" t="str">
        <x:v>Easels</x:v>
      </x:c>
      <x:c r="D209" s="18" t="str">
        <x:v>easel</x:v>
      </x:c>
      <x:c r="E209" s="32" t="n">
        <x:v>4</x:v>
      </x:c>
      <x:c r="F209" s="33" t="n">
        <x:v>80</x:v>
      </x:c>
      <x:c r="G209" s="33" t="n">
        <x:v>100</x:v>
      </x:c>
      <x:c r="H209" s="34" t="str">
        <x:v>one_time</x:v>
      </x:c>
      <x:c r="I209" s="33" t="n">
        <x:v>125</x:v>
      </x:c>
      <x:c r="J209" s="35" t="str">
        <x:v>Planning allowance; written quote needed</x:v>
      </x:c>
      <x:c r="K209" s="36" t="str">
        <x:v>ALLOW</x:v>
      </x:c>
      <x:c r="L209" s="37" t="n">
        <x:f>ROUND(E209*F209,2)</x:f>
        <x:v>320</x:v>
      </x:c>
      <x:c r="M209" s="37" t="n">
        <x:f>ROUND(E209*G209,2)</x:f>
        <x:v>400</x:v>
      </x:c>
      <x:c r="N209" s="37" t="n">
        <x:f>ROUND(E209*I209,2)</x:f>
        <x:v>500</x:v>
      </x:c>
      <x:c r="O209" s="18" t="str">
        <x:v>40 children × 260 days = 10,400 child-days. Supplies/equipment assume purchase until physical inventory is reconciled. Low/high are -20%/+25% rate sensitivity, not observed market range.</x:v>
      </x:c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48" customHeight="1">
      <x:c r="A210" s="1" t="str">
        <x:v>OPS-099</x:v>
      </x:c>
      <x:c r="B210" s="1" t="str">
        <x:v>Daycare operations</x:v>
      </x:c>
      <x:c r="C210" s="18" t="str">
        <x:v>Art tables</x:v>
      </x:c>
      <x:c r="D210" s="18" t="str">
        <x:v>art table</x:v>
      </x:c>
      <x:c r="E210" s="32" t="n">
        <x:v>2</x:v>
      </x:c>
      <x:c r="F210" s="33" t="n">
        <x:v>240</x:v>
      </x:c>
      <x:c r="G210" s="33" t="n">
        <x:v>300</x:v>
      </x:c>
      <x:c r="H210" s="34" t="str">
        <x:v>one_time</x:v>
      </x:c>
      <x:c r="I210" s="33" t="n">
        <x:v>375</x:v>
      </x:c>
      <x:c r="J210" s="35" t="str">
        <x:v>Planning allowance; written quote needed</x:v>
      </x:c>
      <x:c r="K210" s="36" t="str">
        <x:v>ALLOW</x:v>
      </x:c>
      <x:c r="L210" s="37" t="n">
        <x:f>ROUND(E210*F210,2)</x:f>
        <x:v>480</x:v>
      </x:c>
      <x:c r="M210" s="37" t="n">
        <x:f>ROUND(E210*G210,2)</x:f>
        <x:v>600</x:v>
      </x:c>
      <x:c r="N210" s="37" t="n">
        <x:f>ROUND(E210*I210,2)</x:f>
        <x:v>750</x:v>
      </x:c>
      <x:c r="O210" s="18" t="str">
        <x:v>40 children × 260 days = 10,400 child-days. Supplies/equipment assume purchase until physical inventory is reconciled. Low/high are -20%/+25% rate sensitivity, not observed market range.</x:v>
      </x:c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48" customHeight="1">
      <x:c r="A211" s="1" t="str">
        <x:v>OPS-100</x:v>
      </x:c>
      <x:c r="B211" s="1" t="str">
        <x:v>Daycare operations</x:v>
      </x:c>
      <x:c r="C211" s="18" t="str">
        <x:v>Storage bins</x:v>
      </x:c>
      <x:c r="D211" s="18" t="str">
        <x:v>bin</x:v>
      </x:c>
      <x:c r="E211" s="32" t="n">
        <x:v>40</x:v>
      </x:c>
      <x:c r="F211" s="33" t="n">
        <x:v>9.6</x:v>
      </x:c>
      <x:c r="G211" s="33" t="n">
        <x:v>12</x:v>
      </x:c>
      <x:c r="H211" s="34" t="str">
        <x:v>one_time</x:v>
      </x:c>
      <x:c r="I211" s="33" t="n">
        <x:v>15</x:v>
      </x:c>
      <x:c r="J211" s="35" t="str">
        <x:v>Planning allowance; written quote needed</x:v>
      </x:c>
      <x:c r="K211" s="36" t="str">
        <x:v>ALLOW</x:v>
      </x:c>
      <x:c r="L211" s="37" t="n">
        <x:f>ROUND(E211*F211,2)</x:f>
        <x:v>384</x:v>
      </x:c>
      <x:c r="M211" s="37" t="n">
        <x:f>ROUND(E211*G211,2)</x:f>
        <x:v>480</x:v>
      </x:c>
      <x:c r="N211" s="37" t="n">
        <x:f>ROUND(E211*I211,2)</x:f>
        <x:v>600</x:v>
      </x:c>
      <x:c r="O211" s="18" t="str">
        <x:v>40 children × 260 days = 10,400 child-days. Supplies/equipment assume purchase until physical inventory is reconciled. Low/high are -20%/+25% rate sensitivity, not observed market range.</x:v>
      </x:c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48" customHeight="1">
      <x:c r="A212" s="1" t="str">
        <x:v>OPS-101</x:v>
      </x:c>
      <x:c r="B212" s="1" t="str">
        <x:v>Daycare operations</x:v>
      </x:c>
      <x:c r="C212" s="18" t="str">
        <x:v>Nap mats</x:v>
      </x:c>
      <x:c r="D212" s="18" t="str">
        <x:v>nap mat</x:v>
      </x:c>
      <x:c r="E212" s="32" t="n">
        <x:v>44</x:v>
      </x:c>
      <x:c r="F212" s="33" t="n">
        <x:v>28</x:v>
      </x:c>
      <x:c r="G212" s="33" t="n">
        <x:v>35</x:v>
      </x:c>
      <x:c r="H212" s="34" t="str">
        <x:v>one_time</x:v>
      </x:c>
      <x:c r="I212" s="33" t="n">
        <x:v>43.75</x:v>
      </x:c>
      <x:c r="J212" s="35" t="str">
        <x:v>Planning allowance; written quote needed</x:v>
      </x:c>
      <x:c r="K212" s="36" t="str">
        <x:v>ALLOW</x:v>
      </x:c>
      <x:c r="L212" s="37" t="n">
        <x:f>ROUND(E212*F212,2)</x:f>
        <x:v>1232</x:v>
      </x:c>
      <x:c r="M212" s="37" t="n">
        <x:f>ROUND(E212*G212,2)</x:f>
        <x:v>1540</x:v>
      </x:c>
      <x:c r="N212" s="37" t="n">
        <x:f>ROUND(E212*I212,2)</x:f>
        <x:v>1925</x:v>
      </x:c>
      <x:c r="O212" s="18" t="str">
        <x:v>40 children × 260 days = 10,400 child-days. Supplies/equipment assume purchase until physical inventory is reconciled. Low/high are -20%/+25% rate sensitivity, not observed market range.</x:v>
      </x:c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48" customHeight="1">
      <x:c r="A213" s="1" t="str">
        <x:v>OPS-103</x:v>
      </x:c>
      <x:c r="B213" s="1" t="str">
        <x:v>Daycare operations</x:v>
      </x:c>
      <x:c r="C213" s="18" t="str">
        <x:v>Outdoor play equipment</x:v>
      </x:c>
      <x:c r="D213" s="18" t="str">
        <x:v>play equipment</x:v>
      </x:c>
      <x:c r="E213" s="32" t="n">
        <x:v>1</x:v>
      </x:c>
      <x:c r="F213" s="33" t="n">
        <x:v>12000</x:v>
      </x:c>
      <x:c r="G213" s="33" t="n">
        <x:v>15000</x:v>
      </x:c>
      <x:c r="H213" s="34" t="str">
        <x:v>one_time</x:v>
      </x:c>
      <x:c r="I213" s="33" t="n">
        <x:v>18750</x:v>
      </x:c>
      <x:c r="J213" s="35" t="str">
        <x:v>Planning allowance; written quote needed</x:v>
      </x:c>
      <x:c r="K213" s="36" t="str">
        <x:v>ALLOW</x:v>
      </x:c>
      <x:c r="L213" s="37" t="n">
        <x:f>ROUND(E213*F213,2)</x:f>
        <x:v>12000</x:v>
      </x:c>
      <x:c r="M213" s="37" t="n">
        <x:f>ROUND(E213*G213,2)</x:f>
        <x:v>15000</x:v>
      </x:c>
      <x:c r="N213" s="37" t="n">
        <x:f>ROUND(E213*I213,2)</x:f>
        <x:v>18750</x:v>
      </x:c>
      <x:c r="O213" s="18" t="str">
        <x:v>40 children × 260 days = 10,400 child-days. Supplies/equipment assume purchase until physical inventory is reconciled. Low/high are -20%/+25% rate sensitivity, not observed market range.</x:v>
      </x:c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48" customHeight="1">
      <x:c r="A214" s="1" t="str">
        <x:v>OPS-104</x:v>
      </x:c>
      <x:c r="B214" s="1" t="str">
        <x:v>Daycare operations</x:v>
      </x:c>
      <x:c r="C214" s="18" t="str">
        <x:v>Outdoor safety surfacing</x:v>
      </x:c>
      <x:c r="D214" s="18" t="str">
        <x:v>safety surfacing installation</x:v>
      </x:c>
      <x:c r="E214" s="32" t="n">
        <x:v>1</x:v>
      </x:c>
      <x:c r="F214" s="33" t="n">
        <x:v>9600</x:v>
      </x:c>
      <x:c r="G214" s="33" t="n">
        <x:v>12000</x:v>
      </x:c>
      <x:c r="H214" s="34" t="str">
        <x:v>one_time</x:v>
      </x:c>
      <x:c r="I214" s="33" t="n">
        <x:v>15000</x:v>
      </x:c>
      <x:c r="J214" s="35" t="str">
        <x:v>Planning allowance; written quote needed</x:v>
      </x:c>
      <x:c r="K214" s="36" t="str">
        <x:v>ALLOW</x:v>
      </x:c>
      <x:c r="L214" s="37" t="n">
        <x:f>ROUND(E214*F214,2)</x:f>
        <x:v>9600</x:v>
      </x:c>
      <x:c r="M214" s="37" t="n">
        <x:f>ROUND(E214*G214,2)</x:f>
        <x:v>12000</x:v>
      </x:c>
      <x:c r="N214" s="37" t="n">
        <x:f>ROUND(E214*I214,2)</x:f>
        <x:v>15000</x:v>
      </x:c>
      <x:c r="O214" s="18" t="str">
        <x:v>40 children × 260 days = 10,400 child-days. Supplies/equipment assume purchase until physical inventory is reconciled. Low/high are -20%/+25% rate sensitivity, not observed market range.</x:v>
      </x:c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48" customHeight="1">
      <x:c r="A215" s="1" t="str">
        <x:v>OPS-105</x:v>
      </x:c>
      <x:c r="B215" s="1" t="str">
        <x:v>Daycare operations</x:v>
      </x:c>
      <x:c r="C215" s="18" t="str">
        <x:v>Manipulatives</x:v>
      </x:c>
      <x:c r="D215" s="18" t="str">
        <x:v>room set</x:v>
      </x:c>
      <x:c r="E215" s="32" t="n">
        <x:v>4</x:v>
      </x:c>
      <x:c r="F215" s="33" t="n">
        <x:v>240</x:v>
      </x:c>
      <x:c r="G215" s="33" t="n">
        <x:v>300</x:v>
      </x:c>
      <x:c r="H215" s="34" t="str">
        <x:v>one_time</x:v>
      </x:c>
      <x:c r="I215" s="33" t="n">
        <x:v>375</x:v>
      </x:c>
      <x:c r="J215" s="35" t="str">
        <x:v>Planning allowance; written quote needed</x:v>
      </x:c>
      <x:c r="K215" s="36" t="str">
        <x:v>ALLOW</x:v>
      </x:c>
      <x:c r="L215" s="37" t="n">
        <x:f>ROUND(E215*F215,2)</x:f>
        <x:v>960</x:v>
      </x:c>
      <x:c r="M215" s="37" t="n">
        <x:f>ROUND(E215*G215,2)</x:f>
        <x:v>1200</x:v>
      </x:c>
      <x:c r="N215" s="37" t="n">
        <x:f>ROUND(E215*I215,2)</x:f>
        <x:v>1500</x:v>
      </x:c>
      <x:c r="O215" s="18" t="str">
        <x:v>40 children × 260 days = 10,400 child-days. Supplies/equipment assume purchase until physical inventory is reconciled. Low/high are -20%/+25% rate sensitivity, not observed market range.</x:v>
      </x:c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48" customHeight="1">
      <x:c r="A216" s="1" t="str">
        <x:v>OPS-106</x:v>
      </x:c>
      <x:c r="B216" s="1" t="str">
        <x:v>Daycare operations</x:v>
      </x:c>
      <x:c r="C216" s="18" t="str">
        <x:v>Dramatic play props</x:v>
      </x:c>
      <x:c r="D216" s="18" t="str">
        <x:v>room set</x:v>
      </x:c>
      <x:c r="E216" s="32" t="n">
        <x:v>4</x:v>
      </x:c>
      <x:c r="F216" s="33" t="n">
        <x:v>200</x:v>
      </x:c>
      <x:c r="G216" s="33" t="n">
        <x:v>250</x:v>
      </x:c>
      <x:c r="H216" s="34" t="str">
        <x:v>one_time</x:v>
      </x:c>
      <x:c r="I216" s="33" t="n">
        <x:v>312.5</x:v>
      </x:c>
      <x:c r="J216" s="35" t="str">
        <x:v>Planning allowance; written quote needed</x:v>
      </x:c>
      <x:c r="K216" s="36" t="str">
        <x:v>ALLOW</x:v>
      </x:c>
      <x:c r="L216" s="37" t="n">
        <x:f>ROUND(E216*F216,2)</x:f>
        <x:v>800</x:v>
      </x:c>
      <x:c r="M216" s="37" t="n">
        <x:f>ROUND(E216*G216,2)</x:f>
        <x:v>1000</x:v>
      </x:c>
      <x:c r="N216" s="37" t="n">
        <x:f>ROUND(E216*I216,2)</x:f>
        <x:v>1250</x:v>
      </x:c>
      <x:c r="O216" s="18" t="str">
        <x:v>40 children × 260 days = 10,400 child-days. Supplies/equipment assume purchase until physical inventory is reconciled. Low/high are -20%/+25% rate sensitivity, not observed market range.</x:v>
      </x:c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48" customHeight="1">
      <x:c r="A217" s="1" t="str">
        <x:v>OPS-107</x:v>
      </x:c>
      <x:c r="B217" s="1" t="str">
        <x:v>Daycare operations</x:v>
      </x:c>
      <x:c r="C217" s="18" t="str">
        <x:v>Blocks</x:v>
      </x:c>
      <x:c r="D217" s="18" t="str">
        <x:v>room set</x:v>
      </x:c>
      <x:c r="E217" s="32" t="n">
        <x:v>4</x:v>
      </x:c>
      <x:c r="F217" s="33" t="n">
        <x:v>160</x:v>
      </x:c>
      <x:c r="G217" s="33" t="n">
        <x:v>200</x:v>
      </x:c>
      <x:c r="H217" s="34" t="str">
        <x:v>one_time</x:v>
      </x:c>
      <x:c r="I217" s="33" t="n">
        <x:v>250</x:v>
      </x:c>
      <x:c r="J217" s="35" t="str">
        <x:v>Planning allowance; written quote needed</x:v>
      </x:c>
      <x:c r="K217" s="36" t="str">
        <x:v>ALLOW</x:v>
      </x:c>
      <x:c r="L217" s="37" t="n">
        <x:f>ROUND(E217*F217,2)</x:f>
        <x:v>640</x:v>
      </x:c>
      <x:c r="M217" s="37" t="n">
        <x:f>ROUND(E217*G217,2)</x:f>
        <x:v>800</x:v>
      </x:c>
      <x:c r="N217" s="37" t="n">
        <x:f>ROUND(E217*I217,2)</x:f>
        <x:v>1000</x:v>
      </x:c>
      <x:c r="O217" s="18" t="str">
        <x:v>40 children × 260 days = 10,400 child-days. Supplies/equipment assume purchase until physical inventory is reconciled. Low/high are -20%/+25% rate sensitivity, not observed market range.</x:v>
      </x:c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48" customHeight="1">
      <x:c r="A218" s="1" t="str">
        <x:v>OPS-108</x:v>
      </x:c>
      <x:c r="B218" s="1" t="str">
        <x:v>Daycare operations</x:v>
      </x:c>
      <x:c r="C218" s="18" t="str">
        <x:v>Puzzles</x:v>
      </x:c>
      <x:c r="D218" s="18" t="str">
        <x:v>puzzle</x:v>
      </x:c>
      <x:c r="E218" s="32" t="n">
        <x:v>40</x:v>
      </x:c>
      <x:c r="F218" s="33" t="n">
        <x:v>12</x:v>
      </x:c>
      <x:c r="G218" s="33" t="n">
        <x:v>15</x:v>
      </x:c>
      <x:c r="H218" s="34" t="str">
        <x:v>one_time</x:v>
      </x:c>
      <x:c r="I218" s="33" t="n">
        <x:v>18.75</x:v>
      </x:c>
      <x:c r="J218" s="35" t="str">
        <x:v>Planning allowance; written quote needed</x:v>
      </x:c>
      <x:c r="K218" s="36" t="str">
        <x:v>ALLOW</x:v>
      </x:c>
      <x:c r="L218" s="37" t="n">
        <x:f>ROUND(E218*F218,2)</x:f>
        <x:v>480</x:v>
      </x:c>
      <x:c r="M218" s="37" t="n">
        <x:f>ROUND(E218*G218,2)</x:f>
        <x:v>600</x:v>
      </x:c>
      <x:c r="N218" s="37" t="n">
        <x:f>ROUND(E218*I218,2)</x:f>
        <x:v>750</x:v>
      </x:c>
      <x:c r="O218" s="18" t="str">
        <x:v>40 children × 260 days = 10,400 child-days. Supplies/equipment assume purchase until physical inventory is reconciled. Low/high are -20%/+25% rate sensitivity, not observed market range.</x:v>
      </x:c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48" customHeight="1">
      <x:c r="A219" s="1" t="str">
        <x:v>OPS-109</x:v>
      </x:c>
      <x:c r="B219" s="1" t="str">
        <x:v>Daycare operations</x:v>
      </x:c>
      <x:c r="C219" s="18" t="str">
        <x:v>Books</x:v>
      </x:c>
      <x:c r="D219" s="18" t="str">
        <x:v>book</x:v>
      </x:c>
      <x:c r="E219" s="32" t="n">
        <x:v>120</x:v>
      </x:c>
      <x:c r="F219" s="33" t="n">
        <x:v>9.6</x:v>
      </x:c>
      <x:c r="G219" s="33" t="n">
        <x:v>12</x:v>
      </x:c>
      <x:c r="H219" s="34" t="str">
        <x:v>one_time</x:v>
      </x:c>
      <x:c r="I219" s="33" t="n">
        <x:v>15</x:v>
      </x:c>
      <x:c r="J219" s="35" t="str">
        <x:v>Planning allowance; written quote needed</x:v>
      </x:c>
      <x:c r="K219" s="36" t="str">
        <x:v>ALLOW</x:v>
      </x:c>
      <x:c r="L219" s="37" t="n">
        <x:f>ROUND(E219*F219,2)</x:f>
        <x:v>1152</x:v>
      </x:c>
      <x:c r="M219" s="37" t="n">
        <x:f>ROUND(E219*G219,2)</x:f>
        <x:v>1440</x:v>
      </x:c>
      <x:c r="N219" s="37" t="n">
        <x:f>ROUND(E219*I219,2)</x:f>
        <x:v>1800</x:v>
      </x:c>
      <x:c r="O219" s="18" t="str">
        <x:v>40 children × 260 days = 10,400 child-days. Supplies/equipment assume purchase until physical inventory is reconciled. Low/high are -20%/+25% rate sensitivity, not observed market range.</x:v>
      </x:c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48" customHeight="1">
      <x:c r="A220" s="1" t="str">
        <x:v>OPS-110</x:v>
      </x:c>
      <x:c r="B220" s="1" t="str">
        <x:v>Daycare operations</x:v>
      </x:c>
      <x:c r="C220" s="18" t="str">
        <x:v>Pencils</x:v>
      </x:c>
      <x:c r="D220" s="18" t="str">
        <x:v>144-pencil pack</x:v>
      </x:c>
      <x:c r="E220" s="32" t="n">
        <x:v>2</x:v>
      </x:c>
      <x:c r="F220" s="33" t="n">
        <x:v>39.99</x:v>
      </x:c>
      <x:c r="G220" s="33" t="n">
        <x:v>39.99</x:v>
      </x:c>
      <x:c r="H220" s="34" t="str">
        <x:v>recurring</x:v>
      </x:c>
      <x:c r="I220" s="33" t="n">
        <x:v>39.99</x:v>
      </x:c>
      <x:c r="J220" s="35" t="str">
        <x:v>Published rate × assumed quantity</x:v>
      </x:c>
      <x:c r="K220" s="36" t="str">
        <x:v>PENCIL</x:v>
      </x:c>
      <x:c r="L220" s="37" t="n">
        <x:f>ROUND(E220*F220,2)</x:f>
        <x:v>79.98</x:v>
      </x:c>
      <x:c r="M220" s="37" t="n">
        <x:f>ROUND(E220*G220,2)</x:f>
        <x:v>79.98</x:v>
      </x:c>
      <x:c r="N220" s="37" t="n">
        <x:f>ROUND(E220*I220,2)</x:f>
        <x:v>79.98</x:v>
      </x:c>
      <x:c r="O220" s="18" t="str">
        <x:v>40 children × 260 days = 10,400 child-days. Supplies/equipment assume purchase until physical inventory is reconciled.</x:v>
      </x:c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48" customHeight="1">
      <x:c r="A221" s="1" t="str">
        <x:v>OPS-111</x:v>
      </x:c>
      <x:c r="B221" s="1" t="str">
        <x:v>Daycare operations</x:v>
      </x:c>
      <x:c r="C221" s="18" t="str">
        <x:v>Crayons</x:v>
      </x:c>
      <x:c r="D221" s="18" t="str">
        <x:v>400-crayon pack</x:v>
      </x:c>
      <x:c r="E221" s="32" t="n">
        <x:v>2</x:v>
      </x:c>
      <x:c r="F221" s="33" t="n">
        <x:v>89.99</x:v>
      </x:c>
      <x:c r="G221" s="33" t="n">
        <x:v>89.99</x:v>
      </x:c>
      <x:c r="H221" s="34" t="str">
        <x:v>recurring</x:v>
      </x:c>
      <x:c r="I221" s="33" t="n">
        <x:v>89.99</x:v>
      </x:c>
      <x:c r="J221" s="35" t="str">
        <x:v>Published rate × assumed quantity</x:v>
      </x:c>
      <x:c r="K221" s="36" t="str">
        <x:v>ART</x:v>
      </x:c>
      <x:c r="L221" s="37" t="n">
        <x:f>ROUND(E221*F221,2)</x:f>
        <x:v>179.98</x:v>
      </x:c>
      <x:c r="M221" s="37" t="n">
        <x:f>ROUND(E221*G221,2)</x:f>
        <x:v>179.98</x:v>
      </x:c>
      <x:c r="N221" s="37" t="n">
        <x:f>ROUND(E221*I221,2)</x:f>
        <x:v>179.98</x:v>
      </x:c>
      <x:c r="O221" s="18" t="str">
        <x:v>40 children × 260 days = 10,400 child-days. Supplies/equipment assume purchase until physical inventory is reconciled.</x:v>
      </x:c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48" customHeight="1">
      <x:c r="A222" s="1" t="str">
        <x:v>OPS-112</x:v>
      </x:c>
      <x:c r="B222" s="1" t="str">
        <x:v>Daycare operations</x:v>
      </x:c>
      <x:c r="C222" s="18" t="str">
        <x:v>Markers</x:v>
      </x:c>
      <x:c r="D222" s="18" t="str">
        <x:v>200-marker pack</x:v>
      </x:c>
      <x:c r="E222" s="32" t="n">
        <x:v>2</x:v>
      </x:c>
      <x:c r="F222" s="33" t="n">
        <x:v>129.99</x:v>
      </x:c>
      <x:c r="G222" s="33" t="n">
        <x:v>129.99</x:v>
      </x:c>
      <x:c r="H222" s="34" t="str">
        <x:v>recurring</x:v>
      </x:c>
      <x:c r="I222" s="33" t="n">
        <x:v>129.99</x:v>
      </x:c>
      <x:c r="J222" s="35" t="str">
        <x:v>Published rate × assumed quantity</x:v>
      </x:c>
      <x:c r="K222" s="36" t="str">
        <x:v>ART</x:v>
      </x:c>
      <x:c r="L222" s="37" t="n">
        <x:f>ROUND(E222*F222,2)</x:f>
        <x:v>259.98</x:v>
      </x:c>
      <x:c r="M222" s="37" t="n">
        <x:f>ROUND(E222*G222,2)</x:f>
        <x:v>259.98</x:v>
      </x:c>
      <x:c r="N222" s="37" t="n">
        <x:f>ROUND(E222*I222,2)</x:f>
        <x:v>259.98</x:v>
      </x:c>
      <x:c r="O222" s="18" t="str">
        <x:v>40 children × 260 days = 10,400 child-days. Supplies/equipment assume purchase until physical inventory is reconciled.</x:v>
      </x:c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48" customHeight="1">
      <x:c r="A223" s="1" t="str">
        <x:v>OPS-113</x:v>
      </x:c>
      <x:c r="B223" s="1" t="str">
        <x:v>Daycare operations</x:v>
      </x:c>
      <x:c r="C223" s="18" t="str">
        <x:v>Construction paper</x:v>
      </x:c>
      <x:c r="D223" s="18" t="str">
        <x:v>paper pack</x:v>
      </x:c>
      <x:c r="E223" s="32" t="n">
        <x:v>12</x:v>
      </x:c>
      <x:c r="F223" s="33" t="n">
        <x:v>12</x:v>
      </x:c>
      <x:c r="G223" s="33" t="n">
        <x:v>15</x:v>
      </x:c>
      <x:c r="H223" s="34" t="str">
        <x:v>recurring</x:v>
      </x:c>
      <x:c r="I223" s="33" t="n">
        <x:v>18.75</x:v>
      </x:c>
      <x:c r="J223" s="35" t="str">
        <x:v>Planning allowance; written quote needed</x:v>
      </x:c>
      <x:c r="K223" s="36" t="str">
        <x:v>ALLOW</x:v>
      </x:c>
      <x:c r="L223" s="37" t="n">
        <x:f>ROUND(E223*F223,2)</x:f>
        <x:v>144</x:v>
      </x:c>
      <x:c r="M223" s="37" t="n">
        <x:f>ROUND(E223*G223,2)</x:f>
        <x:v>180</x:v>
      </x:c>
      <x:c r="N223" s="37" t="n">
        <x:f>ROUND(E223*I223,2)</x:f>
        <x:v>225</x:v>
      </x:c>
      <x:c r="O223" s="18" t="str">
        <x:v>40 children × 260 days = 10,400 child-days. Supplies/equipment assume purchase until physical inventory is reconciled. Low/high are -20%/+25% rate sensitivity, not observed market range.</x:v>
      </x:c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48" customHeight="1">
      <x:c r="A224" s="1" t="str">
        <x:v>OPS-114</x:v>
      </x:c>
      <x:c r="B224" s="1" t="str">
        <x:v>Daycare operations</x:v>
      </x:c>
      <x:c r="C224" s="18" t="str">
        <x:v>Glue</x:v>
      </x:c>
      <x:c r="D224" s="18" t="str">
        <x:v>12-bottle glue pack</x:v>
      </x:c>
      <x:c r="E224" s="32" t="n">
        <x:v>6</x:v>
      </x:c>
      <x:c r="F224" s="33" t="n">
        <x:v>19.99</x:v>
      </x:c>
      <x:c r="G224" s="33" t="n">
        <x:v>19.99</x:v>
      </x:c>
      <x:c r="H224" s="34" t="str">
        <x:v>recurring</x:v>
      </x:c>
      <x:c r="I224" s="33" t="n">
        <x:v>19.99</x:v>
      </x:c>
      <x:c r="J224" s="35" t="str">
        <x:v>Published rate × assumed quantity</x:v>
      </x:c>
      <x:c r="K224" s="36" t="str">
        <x:v>GLUE</x:v>
      </x:c>
      <x:c r="L224" s="37" t="n">
        <x:f>ROUND(E224*F224,2)</x:f>
        <x:v>119.94</x:v>
      </x:c>
      <x:c r="M224" s="37" t="n">
        <x:f>ROUND(E224*G224,2)</x:f>
        <x:v>119.94</x:v>
      </x:c>
      <x:c r="N224" s="37" t="n">
        <x:f>ROUND(E224*I224,2)</x:f>
        <x:v>119.94</x:v>
      </x:c>
      <x:c r="O224" s="18" t="str">
        <x:v>40 children × 260 days = 10,400 child-days. Supplies/equipment assume purchase until physical inventory is reconciled.</x:v>
      </x:c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48" customHeight="1">
      <x:c r="A225" s="1" t="str">
        <x:v>OPS-115</x:v>
      </x:c>
      <x:c r="B225" s="1" t="str">
        <x:v>Daycare operations</x:v>
      </x:c>
      <x:c r="C225" s="18" t="str">
        <x:v>Child scissors</x:v>
      </x:c>
      <x:c r="D225" s="18" t="str">
        <x:v>scissors</x:v>
      </x:c>
      <x:c r="E225" s="32" t="n">
        <x:v>44</x:v>
      </x:c>
      <x:c r="F225" s="33" t="n">
        <x:v>2.4</x:v>
      </x:c>
      <x:c r="G225" s="33" t="n">
        <x:v>3</x:v>
      </x:c>
      <x:c r="H225" s="34" t="str">
        <x:v>one_time</x:v>
      </x:c>
      <x:c r="I225" s="33" t="n">
        <x:v>3.75</x:v>
      </x:c>
      <x:c r="J225" s="35" t="str">
        <x:v>Planning allowance; written quote needed</x:v>
      </x:c>
      <x:c r="K225" s="36" t="str">
        <x:v>ALLOW</x:v>
      </x:c>
      <x:c r="L225" s="37" t="n">
        <x:f>ROUND(E225*F225,2)</x:f>
        <x:v>105.6</x:v>
      </x:c>
      <x:c r="M225" s="37" t="n">
        <x:f>ROUND(E225*G225,2)</x:f>
        <x:v>132</x:v>
      </x:c>
      <x:c r="N225" s="37" t="n">
        <x:f>ROUND(E225*I225,2)</x:f>
        <x:v>165</x:v>
      </x:c>
      <x:c r="O225" s="18" t="str">
        <x:v>40 children × 260 days = 10,400 child-days. Supplies/equipment assume purchase until physical inventory is reconciled. Low/high are -20%/+25% rate sensitivity, not observed market range.</x:v>
      </x:c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48" customHeight="1">
      <x:c r="A226" s="1" t="str">
        <x:v>OPS-116</x:v>
      </x:c>
      <x:c r="B226" s="1" t="str">
        <x:v>Daycare operations</x:v>
      </x:c>
      <x:c r="C226" s="18" t="str">
        <x:v>Paint and brushes</x:v>
      </x:c>
      <x:c r="D226" s="18" t="str">
        <x:v>paint bottle pack</x:v>
      </x:c>
      <x:c r="E226" s="32" t="n">
        <x:v>12</x:v>
      </x:c>
      <x:c r="F226" s="33" t="n">
        <x:v>20</x:v>
      </x:c>
      <x:c r="G226" s="33" t="n">
        <x:v>25</x:v>
      </x:c>
      <x:c r="H226" s="34" t="str">
        <x:v>recurring</x:v>
      </x:c>
      <x:c r="I226" s="33" t="n">
        <x:v>31.25</x:v>
      </x:c>
      <x:c r="J226" s="35" t="str">
        <x:v>Planning allowance; written quote needed</x:v>
      </x:c>
      <x:c r="K226" s="36" t="str">
        <x:v>ALLOW</x:v>
      </x:c>
      <x:c r="L226" s="37" t="n">
        <x:f>ROUND(E226*F226,2)</x:f>
        <x:v>240</x:v>
      </x:c>
      <x:c r="M226" s="37" t="n">
        <x:f>ROUND(E226*G226,2)</x:f>
        <x:v>300</x:v>
      </x:c>
      <x:c r="N226" s="37" t="n">
        <x:f>ROUND(E226*I226,2)</x:f>
        <x:v>375</x:v>
      </x:c>
      <x:c r="O226" s="18" t="str">
        <x:v>40 children × 260 days = 10,400 child-days. Supplies/equipment assume purchase until physical inventory is reconciled. Low/high are -20%/+25% rate sensitivity, not observed market range.</x:v>
      </x:c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48" customHeight="1">
      <x:c r="A227" s="1" t="str">
        <x:v>OPS-117</x:v>
      </x:c>
      <x:c r="B227" s="1" t="str">
        <x:v>Daycare operations</x:v>
      </x:c>
      <x:c r="C227" s="18" t="str">
        <x:v>Play dough</x:v>
      </x:c>
      <x:c r="D227" s="18" t="str">
        <x:v>dough pack</x:v>
      </x:c>
      <x:c r="E227" s="32" t="n">
        <x:v>24</x:v>
      </x:c>
      <x:c r="F227" s="33" t="n">
        <x:v>9.6</x:v>
      </x:c>
      <x:c r="G227" s="33" t="n">
        <x:v>12</x:v>
      </x:c>
      <x:c r="H227" s="34" t="str">
        <x:v>recurring</x:v>
      </x:c>
      <x:c r="I227" s="33" t="n">
        <x:v>15</x:v>
      </x:c>
      <x:c r="J227" s="35" t="str">
        <x:v>Planning allowance; written quote needed</x:v>
      </x:c>
      <x:c r="K227" s="36" t="str">
        <x:v>ALLOW</x:v>
      </x:c>
      <x:c r="L227" s="37" t="n">
        <x:f>ROUND(E227*F227,2)</x:f>
        <x:v>230.4</x:v>
      </x:c>
      <x:c r="M227" s="37" t="n">
        <x:f>ROUND(E227*G227,2)</x:f>
        <x:v>288</x:v>
      </x:c>
      <x:c r="N227" s="37" t="n">
        <x:f>ROUND(E227*I227,2)</x:f>
        <x:v>360</x:v>
      </x:c>
      <x:c r="O227" s="18" t="str">
        <x:v>40 children × 260 days = 10,400 child-days. Supplies/equipment assume purchase until physical inventory is reconciled. Low/high are -20%/+25% rate sensitivity, not observed market range.</x:v>
      </x:c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48" customHeight="1">
      <x:c r="A228" s="1" t="str">
        <x:v>OPS-118</x:v>
      </x:c>
      <x:c r="B228" s="1" t="str">
        <x:v>Daycare operations</x:v>
      </x:c>
      <x:c r="C228" s="18" t="str">
        <x:v>Printer paper</x:v>
      </x:c>
      <x:c r="D228" s="18" t="str">
        <x:v>ream</x:v>
      </x:c>
      <x:c r="E228" s="32" t="n">
        <x:v>12</x:v>
      </x:c>
      <x:c r="F228" s="33" t="n">
        <x:v>6.4</x:v>
      </x:c>
      <x:c r="G228" s="33" t="n">
        <x:v>8</x:v>
      </x:c>
      <x:c r="H228" s="34" t="str">
        <x:v>recurring</x:v>
      </x:c>
      <x:c r="I228" s="33" t="n">
        <x:v>10</x:v>
      </x:c>
      <x:c r="J228" s="35" t="str">
        <x:v>Planning allowance; written quote needed</x:v>
      </x:c>
      <x:c r="K228" s="36" t="str">
        <x:v>ALLOW</x:v>
      </x:c>
      <x:c r="L228" s="37" t="n">
        <x:f>ROUND(E228*F228,2)</x:f>
        <x:v>76.8</x:v>
      </x:c>
      <x:c r="M228" s="37" t="n">
        <x:f>ROUND(E228*G228,2)</x:f>
        <x:v>96</x:v>
      </x:c>
      <x:c r="N228" s="37" t="n">
        <x:f>ROUND(E228*I228,2)</x:f>
        <x:v>120</x:v>
      </x:c>
      <x:c r="O228" s="18" t="str">
        <x:v>40 children × 260 days = 10,400 child-days. Supplies/equipment assume purchase until physical inventory is reconciled. Low/high are -20%/+25% rate sensitivity, not observed market range.</x:v>
      </x:c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48" customHeight="1">
      <x:c r="A229" s="1" t="str">
        <x:v>OPS-119</x:v>
      </x:c>
      <x:c r="B229" s="1" t="str">
        <x:v>Daycare operations</x:v>
      </x:c>
      <x:c r="C229" s="18" t="str">
        <x:v>Laminating pouches</x:v>
      </x:c>
      <x:c r="D229" s="18" t="str">
        <x:v>100-pouch pack</x:v>
      </x:c>
      <x:c r="E229" s="32" t="n">
        <x:v>4</x:v>
      </x:c>
      <x:c r="F229" s="33" t="n">
        <x:v>24</x:v>
      </x:c>
      <x:c r="G229" s="33" t="n">
        <x:v>30</x:v>
      </x:c>
      <x:c r="H229" s="34" t="str">
        <x:v>recurring</x:v>
      </x:c>
      <x:c r="I229" s="33" t="n">
        <x:v>37.5</x:v>
      </x:c>
      <x:c r="J229" s="35" t="str">
        <x:v>Planning allowance; written quote needed</x:v>
      </x:c>
      <x:c r="K229" s="36" t="str">
        <x:v>ALLOW</x:v>
      </x:c>
      <x:c r="L229" s="37" t="n">
        <x:f>ROUND(E229*F229,2)</x:f>
        <x:v>96</x:v>
      </x:c>
      <x:c r="M229" s="37" t="n">
        <x:f>ROUND(E229*G229,2)</x:f>
        <x:v>120</x:v>
      </x:c>
      <x:c r="N229" s="37" t="n">
        <x:f>ROUND(E229*I229,2)</x:f>
        <x:v>150</x:v>
      </x:c>
      <x:c r="O229" s="18" t="str">
        <x:v>40 children × 260 days = 10,400 child-days. Supplies/equipment assume purchase until physical inventory is reconciled. Low/high are -20%/+25% rate sensitivity, not observed market range.</x:v>
      </x:c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48" customHeight="1">
      <x:c r="A230" s="1" t="str">
        <x:v>OPS-120</x:v>
      </x:c>
      <x:c r="B230" s="1" t="str">
        <x:v>Daycare operations</x:v>
      </x:c>
      <x:c r="C230" s="18" t="str">
        <x:v>Labels and name tags</x:v>
      </x:c>
      <x:c r="D230" s="18" t="str">
        <x:v>label pack</x:v>
      </x:c>
      <x:c r="E230" s="32" t="n">
        <x:v>12</x:v>
      </x:c>
      <x:c r="F230" s="33" t="n">
        <x:v>8</x:v>
      </x:c>
      <x:c r="G230" s="33" t="n">
        <x:v>10</x:v>
      </x:c>
      <x:c r="H230" s="34" t="str">
        <x:v>recurring</x:v>
      </x:c>
      <x:c r="I230" s="33" t="n">
        <x:v>12.5</x:v>
      </x:c>
      <x:c r="J230" s="35" t="str">
        <x:v>Planning allowance; written quote needed</x:v>
      </x:c>
      <x:c r="K230" s="36" t="str">
        <x:v>ALLOW</x:v>
      </x:c>
      <x:c r="L230" s="37" t="n">
        <x:f>ROUND(E230*F230,2)</x:f>
        <x:v>96</x:v>
      </x:c>
      <x:c r="M230" s="37" t="n">
        <x:f>ROUND(E230*G230,2)</x:f>
        <x:v>120</x:v>
      </x:c>
      <x:c r="N230" s="37" t="n">
        <x:f>ROUND(E230*I230,2)</x:f>
        <x:v>150</x:v>
      </x:c>
      <x:c r="O230" s="18" t="str">
        <x:v>40 children × 260 days = 10,400 child-days. Supplies/equipment assume purchase until physical inventory is reconciled. Low/high are -20%/+25% rate sensitivity, not observed market range.</x:v>
      </x:c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48" customHeight="1">
      <x:c r="A231" s="1" t="str">
        <x:v>OPS-121</x:v>
      </x:c>
      <x:c r="B231" s="1" t="str">
        <x:v>Daycare operations</x:v>
      </x:c>
      <x:c r="C231" s="18" t="str">
        <x:v>Whiteboard supplies</x:v>
      </x:c>
      <x:c r="D231" s="18" t="str">
        <x:v>supply pack</x:v>
      </x:c>
      <x:c r="E231" s="32" t="n">
        <x:v>12</x:v>
      </x:c>
      <x:c r="F231" s="33" t="n">
        <x:v>8</x:v>
      </x:c>
      <x:c r="G231" s="33" t="n">
        <x:v>10</x:v>
      </x:c>
      <x:c r="H231" s="34" t="str">
        <x:v>recurring</x:v>
      </x:c>
      <x:c r="I231" s="33" t="n">
        <x:v>12.5</x:v>
      </x:c>
      <x:c r="J231" s="35" t="str">
        <x:v>Planning allowance; written quote needed</x:v>
      </x:c>
      <x:c r="K231" s="36" t="str">
        <x:v>ALLOW</x:v>
      </x:c>
      <x:c r="L231" s="37" t="n">
        <x:f>ROUND(E231*F231,2)</x:f>
        <x:v>96</x:v>
      </x:c>
      <x:c r="M231" s="37" t="n">
        <x:f>ROUND(E231*G231,2)</x:f>
        <x:v>120</x:v>
      </x:c>
      <x:c r="N231" s="37" t="n">
        <x:f>ROUND(E231*I231,2)</x:f>
        <x:v>150</x:v>
      </x:c>
      <x:c r="O231" s="18" t="str">
        <x:v>40 children × 260 days = 10,400 child-days. Supplies/equipment assume purchase until physical inventory is reconciled. Low/high are -20%/+25% rate sensitivity, not observed market range.</x:v>
      </x:c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48" customHeight="1">
      <x:c r="A232" s="1" t="str">
        <x:v>OPS-122</x:v>
      </x:c>
      <x:c r="B232" s="1" t="str">
        <x:v>Daycare operations</x:v>
      </x:c>
      <x:c r="C232" s="18" t="str">
        <x:v>Music instruments</x:v>
      </x:c>
      <x:c r="D232" s="18" t="str">
        <x:v>instrument set</x:v>
      </x:c>
      <x:c r="E232" s="32" t="n">
        <x:v>4</x:v>
      </x:c>
      <x:c r="F232" s="33" t="n">
        <x:v>80</x:v>
      </x:c>
      <x:c r="G232" s="33" t="n">
        <x:v>100</x:v>
      </x:c>
      <x:c r="H232" s="34" t="str">
        <x:v>one_time</x:v>
      </x:c>
      <x:c r="I232" s="33" t="n">
        <x:v>125</x:v>
      </x:c>
      <x:c r="J232" s="35" t="str">
        <x:v>Planning allowance; written quote needed</x:v>
      </x:c>
      <x:c r="K232" s="36" t="str">
        <x:v>ALLOW</x:v>
      </x:c>
      <x:c r="L232" s="37" t="n">
        <x:f>ROUND(E232*F232,2)</x:f>
        <x:v>320</x:v>
      </x:c>
      <x:c r="M232" s="37" t="n">
        <x:f>ROUND(E232*G232,2)</x:f>
        <x:v>400</x:v>
      </x:c>
      <x:c r="N232" s="37" t="n">
        <x:f>ROUND(E232*I232,2)</x:f>
        <x:v>500</x:v>
      </x:c>
      <x:c r="O232" s="18" t="str">
        <x:v>40 children × 260 days = 10,400 child-days. Supplies/equipment assume purchase until physical inventory is reconciled. Low/high are -20%/+25% rate sensitivity, not observed market range.</x:v>
      </x:c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48" customHeight="1">
      <x:c r="A233" s="1" t="str">
        <x:v>OPS-123</x:v>
      </x:c>
      <x:c r="B233" s="1" t="str">
        <x:v>Daycare operations</x:v>
      </x:c>
      <x:c r="C233" s="18" t="str">
        <x:v>Sensory materials</x:v>
      </x:c>
      <x:c r="D233" s="18" t="str">
        <x:v>month</x:v>
      </x:c>
      <x:c r="E233" s="32" t="n">
        <x:v>12</x:v>
      </x:c>
      <x:c r="F233" s="33" t="n">
        <x:v>40</x:v>
      </x:c>
      <x:c r="G233" s="33" t="n">
        <x:v>50</x:v>
      </x:c>
      <x:c r="H233" s="34" t="str">
        <x:v>recurring</x:v>
      </x:c>
      <x:c r="I233" s="33" t="n">
        <x:v>62.5</x:v>
      </x:c>
      <x:c r="J233" s="35" t="str">
        <x:v>Planning allowance; written quote needed</x:v>
      </x:c>
      <x:c r="K233" s="36" t="str">
        <x:v>ALLOW</x:v>
      </x:c>
      <x:c r="L233" s="37" t="n">
        <x:f>ROUND(E233*F233,2)</x:f>
        <x:v>480</x:v>
      </x:c>
      <x:c r="M233" s="37" t="n">
        <x:f>ROUND(E233*G233,2)</x:f>
        <x:v>600</x:v>
      </x:c>
      <x:c r="N233" s="37" t="n">
        <x:f>ROUND(E233*I233,2)</x:f>
        <x:v>750</x:v>
      </x:c>
      <x:c r="O233" s="18" t="str">
        <x:v>40 children × 260 days = 10,400 child-days. Supplies/equipment assume purchase until physical inventory is reconciled. Low/high are -20%/+25% rate sensitivity, not observed market range.</x:v>
      </x:c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48" customHeight="1">
      <x:c r="A234" s="1" t="str">
        <x:v>OPS-124</x:v>
      </x:c>
      <x:c r="B234" s="1" t="str">
        <x:v>Daycare operations</x:v>
      </x:c>
      <x:c r="C234" s="18" t="str">
        <x:v>Science materials</x:v>
      </x:c>
      <x:c r="D234" s="18" t="str">
        <x:v>room set</x:v>
      </x:c>
      <x:c r="E234" s="32" t="n">
        <x:v>4</x:v>
      </x:c>
      <x:c r="F234" s="33" t="n">
        <x:v>120</x:v>
      </x:c>
      <x:c r="G234" s="33" t="n">
        <x:v>150</x:v>
      </x:c>
      <x:c r="H234" s="34" t="str">
        <x:v>one_time</x:v>
      </x:c>
      <x:c r="I234" s="33" t="n">
        <x:v>187.5</x:v>
      </x:c>
      <x:c r="J234" s="35" t="str">
        <x:v>Planning allowance; written quote needed</x:v>
      </x:c>
      <x:c r="K234" s="36" t="str">
        <x:v>ALLOW</x:v>
      </x:c>
      <x:c r="L234" s="37" t="n">
        <x:f>ROUND(E234*F234,2)</x:f>
        <x:v>480</x:v>
      </x:c>
      <x:c r="M234" s="37" t="n">
        <x:f>ROUND(E234*G234,2)</x:f>
        <x:v>600</x:v>
      </x:c>
      <x:c r="N234" s="37" t="n">
        <x:f>ROUND(E234*I234,2)</x:f>
        <x:v>750</x:v>
      </x:c>
      <x:c r="O234" s="18" t="str">
        <x:v>40 children × 260 days = 10,400 child-days. Supplies/equipment assume purchase until physical inventory is reconciled. Low/high are -20%/+25% rate sensitivity, not observed market range.</x:v>
      </x:c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48" customHeight="1">
      <x:c r="A235" s="1" t="str">
        <x:v>OPS-125</x:v>
      </x:c>
      <x:c r="B235" s="1" t="str">
        <x:v>Daycare operations</x:v>
      </x:c>
      <x:c r="C235" s="18" t="str">
        <x:v>Dramatic play costumes</x:v>
      </x:c>
      <x:c r="D235" s="18" t="str">
        <x:v>costume</x:v>
      </x:c>
      <x:c r="E235" s="32" t="n">
        <x:v>16</x:v>
      </x:c>
      <x:c r="F235" s="33" t="n">
        <x:v>20</x:v>
      </x:c>
      <x:c r="G235" s="33" t="n">
        <x:v>25</x:v>
      </x:c>
      <x:c r="H235" s="34" t="str">
        <x:v>one_time</x:v>
      </x:c>
      <x:c r="I235" s="33" t="n">
        <x:v>31.25</x:v>
      </x:c>
      <x:c r="J235" s="35" t="str">
        <x:v>Planning allowance; written quote needed</x:v>
      </x:c>
      <x:c r="K235" s="36" t="str">
        <x:v>ALLOW</x:v>
      </x:c>
      <x:c r="L235" s="37" t="n">
        <x:f>ROUND(E235*F235,2)</x:f>
        <x:v>320</x:v>
      </x:c>
      <x:c r="M235" s="37" t="n">
        <x:f>ROUND(E235*G235,2)</x:f>
        <x:v>400</x:v>
      </x:c>
      <x:c r="N235" s="37" t="n">
        <x:f>ROUND(E235*I235,2)</x:f>
        <x:v>500</x:v>
      </x:c>
      <x:c r="O235" s="18" t="str">
        <x:v>40 children × 260 days = 10,400 child-days. Supplies/equipment assume purchase until physical inventory is reconciled. Low/high are -20%/+25% rate sensitivity, not observed market range.</x:v>
      </x:c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48" customHeight="1">
      <x:c r="A236" s="1" t="str">
        <x:v>OPS-128</x:v>
      </x:c>
      <x:c r="B236" s="1" t="str">
        <x:v>Daycare operations</x:v>
      </x:c>
      <x:c r="C236" s="18" t="str">
        <x:v>Tax preparation</x:v>
      </x:c>
      <x:c r="D236" s="18" t="str">
        <x:v>annual return</x:v>
      </x:c>
      <x:c r="E236" s="32" t="n">
        <x:v>1</x:v>
      </x:c>
      <x:c r="F236" s="33" t="n">
        <x:v>2000</x:v>
      </x:c>
      <x:c r="G236" s="33" t="n">
        <x:v>2500</x:v>
      </x:c>
      <x:c r="H236" s="34" t="str">
        <x:v>recurring</x:v>
      </x:c>
      <x:c r="I236" s="33" t="n">
        <x:v>3125</x:v>
      </x:c>
      <x:c r="J236" s="35" t="str">
        <x:v>Planning allowance; written quote needed</x:v>
      </x:c>
      <x:c r="K236" s="36" t="str">
        <x:v>ALLOW</x:v>
      </x:c>
      <x:c r="L236" s="37" t="n">
        <x:f>ROUND(E236*F236,2)</x:f>
        <x:v>2000</x:v>
      </x:c>
      <x:c r="M236" s="37" t="n">
        <x:f>ROUND(E236*G236,2)</x:f>
        <x:v>2500</x:v>
      </x:c>
      <x:c r="N236" s="37" t="n">
        <x:f>ROUND(E236*I236,2)</x:f>
        <x:v>3125</x:v>
      </x:c>
      <x:c r="O236" s="18" t="str">
        <x:v>One-site first-year planning quantity; allowance unless source explicitly states rate. Low/high are -20%/+25% rate sensitivity, not observed market range.</x:v>
      </x:c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48" customHeight="1">
      <x:c r="A237" s="1" t="str">
        <x:v>OPS-129</x:v>
      </x:c>
      <x:c r="B237" s="1" t="str">
        <x:v>Daycare operations</x:v>
      </x:c>
      <x:c r="C237" s="18" t="str">
        <x:v>Legal counsel</x:v>
      </x:c>
      <x:c r="D237" s="18" t="str">
        <x:v>general counsel hour</x:v>
      </x:c>
      <x:c r="E237" s="32" t="n">
        <x:v>12</x:v>
      </x:c>
      <x:c r="F237" s="33" t="n">
        <x:v>280</x:v>
      </x:c>
      <x:c r="G237" s="33" t="n">
        <x:v>350</x:v>
      </x:c>
      <x:c r="H237" s="34" t="str">
        <x:v>one_time</x:v>
      </x:c>
      <x:c r="I237" s="33" t="n">
        <x:v>437.5</x:v>
      </x:c>
      <x:c r="J237" s="35" t="str">
        <x:v>Planning allowance; written quote needed</x:v>
      </x:c>
      <x:c r="K237" s="36" t="str">
        <x:v>ALLOW</x:v>
      </x:c>
      <x:c r="L237" s="37" t="n">
        <x:f>ROUND(E237*F237,2)</x:f>
        <x:v>3360</x:v>
      </x:c>
      <x:c r="M237" s="37" t="n">
        <x:f>ROUND(E237*G237,2)</x:f>
        <x:v>4200</x:v>
      </x:c>
      <x:c r="N237" s="37" t="n">
        <x:f>ROUND(E237*I237,2)</x:f>
        <x:v>5250</x:v>
      </x:c>
      <x:c r="O237" s="18" t="str">
        <x:v>One-site first-year planning quantity; allowance unless source explicitly states rate. General entity/operations counsel excluding separate privacy and IP deliverables. Low/high are -20%/+25% rate sensitivity, not observed market range.</x:v>
      </x:c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48" customHeight="1">
      <x:c r="A238" s="1" t="str">
        <x:v>OPS-132</x:v>
      </x:c>
      <x:c r="B238" s="1" t="str">
        <x:v>Daycare operations</x:v>
      </x:c>
      <x:c r="C238" s="18" t="str">
        <x:v>Bank fees</x:v>
      </x:c>
      <x:c r="D238" s="18" t="str">
        <x:v>month</x:v>
      </x:c>
      <x:c r="E238" s="32" t="n">
        <x:v>12</x:v>
      </x:c>
      <x:c r="F238" s="33" t="n">
        <x:v>20</x:v>
      </x:c>
      <x:c r="G238" s="33" t="n">
        <x:v>25</x:v>
      </x:c>
      <x:c r="H238" s="34" t="str">
        <x:v>recurring</x:v>
      </x:c>
      <x:c r="I238" s="33" t="n">
        <x:v>31.25</x:v>
      </x:c>
      <x:c r="J238" s="35" t="str">
        <x:v>Planning allowance; written quote needed</x:v>
      </x:c>
      <x:c r="K238" s="36" t="str">
        <x:v>ALLOW</x:v>
      </x:c>
      <x:c r="L238" s="37" t="n">
        <x:f>ROUND(E238*F238,2)</x:f>
        <x:v>240</x:v>
      </x:c>
      <x:c r="M238" s="37" t="n">
        <x:f>ROUND(E238*G238,2)</x:f>
        <x:v>300</x:v>
      </x:c>
      <x:c r="N238" s="37" t="n">
        <x:f>ROUND(E238*I238,2)</x:f>
        <x:v>375</x:v>
      </x:c>
      <x:c r="O238" s="18" t="str">
        <x:v>One-site first-year planning quantity; allowance unless source explicitly states rate. Low/high are -20%/+25% rate sensitivity, not observed market range.</x:v>
      </x:c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48" customHeight="1">
      <x:c r="A239" s="1" t="str">
        <x:v>OPS-134</x:v>
      </x:c>
      <x:c r="B239" s="1" t="str">
        <x:v>Daycare operations</x:v>
      </x:c>
      <x:c r="C239" s="18" t="str">
        <x:v>Postage and shipping</x:v>
      </x:c>
      <x:c r="D239" s="18" t="str">
        <x:v>letter</x:v>
      </x:c>
      <x:c r="E239" s="32" t="n">
        <x:v>120</x:v>
      </x:c>
      <x:c r="F239" s="33" t="n">
        <x:v>0.64</x:v>
      </x:c>
      <x:c r="G239" s="33" t="n">
        <x:v>0.8</x:v>
      </x:c>
      <x:c r="H239" s="34" t="str">
        <x:v>recurring</x:v>
      </x:c>
      <x:c r="I239" s="33" t="n">
        <x:v>1</x:v>
      </x:c>
      <x:c r="J239" s="35" t="str">
        <x:v>Planning allowance; written quote needed</x:v>
      </x:c>
      <x:c r="K239" s="36" t="str">
        <x:v>ALLOW</x:v>
      </x:c>
      <x:c r="L239" s="37" t="n">
        <x:f>ROUND(E239*F239,2)</x:f>
        <x:v>76.8</x:v>
      </x:c>
      <x:c r="M239" s="37" t="n">
        <x:f>ROUND(E239*G239,2)</x:f>
        <x:v>96</x:v>
      </x:c>
      <x:c r="N239" s="37" t="n">
        <x:f>ROUND(E239*I239,2)</x:f>
        <x:v>120</x:v>
      </x:c>
      <x:c r="O239" s="18" t="str">
        <x:v>One-site first-year planning quantity; allowance unless source explicitly states rate. Low/high are -20%/+25% rate sensitivity, not observed market range.</x:v>
      </x:c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48" customHeight="1">
      <x:c r="A240" s="1" t="str">
        <x:v>OPS-136</x:v>
      </x:c>
      <x:c r="B240" s="1" t="str">
        <x:v>Daycare operations</x:v>
      </x:c>
      <x:c r="C240" s="18" t="str">
        <x:v>Staff uniforms</x:v>
      </x:c>
      <x:c r="D240" s="18" t="str">
        <x:v>uniform</x:v>
      </x:c>
      <x:c r="E240" s="32" t="n">
        <x:v>30</x:v>
      </x:c>
      <x:c r="F240" s="33" t="n">
        <x:v>20</x:v>
      </x:c>
      <x:c r="G240" s="33" t="n">
        <x:v>25</x:v>
      </x:c>
      <x:c r="H240" s="34" t="str">
        <x:v>one_time</x:v>
      </x:c>
      <x:c r="I240" s="33" t="n">
        <x:v>31.25</x:v>
      </x:c>
      <x:c r="J240" s="35" t="str">
        <x:v>Planning allowance; written quote needed</x:v>
      </x:c>
      <x:c r="K240" s="36" t="str">
        <x:v>ALLOW</x:v>
      </x:c>
      <x:c r="L240" s="37" t="n">
        <x:f>ROUND(E240*F240,2)</x:f>
        <x:v>600</x:v>
      </x:c>
      <x:c r="M240" s="37" t="n">
        <x:f>ROUND(E240*G240,2)</x:f>
        <x:v>750</x:v>
      </x:c>
      <x:c r="N240" s="37" t="n">
        <x:f>ROUND(E240*I240,2)</x:f>
        <x:v>937.5</x:v>
      </x:c>
      <x:c r="O240" s="18" t="str">
        <x:v>One-site first-year planning quantity; allowance unless source explicitly states rate. Low/high are -20%/+25% rate sensitivity, not observed market range.</x:v>
      </x:c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48" customHeight="1">
      <x:c r="A241" s="1" t="str">
        <x:v>OPS-137</x:v>
      </x:c>
      <x:c r="B241" s="1" t="str">
        <x:v>Daycare operations</x:v>
      </x:c>
      <x:c r="C241" s="18" t="str">
        <x:v>Accounting software</x:v>
      </x:c>
      <x:c r="D241" s="18" t="str">
        <x:v>month</x:v>
      </x:c>
      <x:c r="E241" s="32" t="n">
        <x:v>12</x:v>
      </x:c>
      <x:c r="F241" s="33" t="n">
        <x:v>38</x:v>
      </x:c>
      <x:c r="G241" s="33" t="n">
        <x:v>38</x:v>
      </x:c>
      <x:c r="H241" s="34" t="str">
        <x:v>recurring</x:v>
      </x:c>
      <x:c r="I241" s="33" t="n">
        <x:v>38</x:v>
      </x:c>
      <x:c r="J241" s="35" t="str">
        <x:v>Published rate × assumed quantity</x:v>
      </x:c>
      <x:c r="K241" s="36" t="str">
        <x:v>QB</x:v>
      </x:c>
      <x:c r="L241" s="37" t="n">
        <x:f>ROUND(E241*F241,2)</x:f>
        <x:v>456</x:v>
      </x:c>
      <x:c r="M241" s="37" t="n">
        <x:f>ROUND(E241*G241,2)</x:f>
        <x:v>456</x:v>
      </x:c>
      <x:c r="N241" s="37" t="n">
        <x:f>ROUND(E241*I241,2)</x:f>
        <x:v>456</x:v>
      </x:c>
      <x:c r="O241" s="18" t="str">
        <x:v>One-site first-year planning quantity; allowance unless source explicitly states rate.</x:v>
      </x:c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48" customHeight="1">
      <x:c r="A242" s="1" t="str">
        <x:v>OPS-139</x:v>
      </x:c>
      <x:c r="B242" s="1" t="str">
        <x:v>Daycare operations</x:v>
      </x:c>
      <x:c r="C242" s="18" t="str">
        <x:v>Phone system</x:v>
      </x:c>
      <x:c r="D242" s="18" t="str">
        <x:v>phone service month</x:v>
      </x:c>
      <x:c r="E242" s="32" t="n">
        <x:v>12</x:v>
      </x:c>
      <x:c r="F242" s="33" t="n">
        <x:v>32</x:v>
      </x:c>
      <x:c r="G242" s="33" t="n">
        <x:v>40</x:v>
      </x:c>
      <x:c r="H242" s="34" t="str">
        <x:v>recurring</x:v>
      </x:c>
      <x:c r="I242" s="33" t="n">
        <x:v>50</x:v>
      </x:c>
      <x:c r="J242" s="35" t="str">
        <x:v>Planning allowance; written quote needed</x:v>
      </x:c>
      <x:c r="K242" s="36" t="str">
        <x:v>ALLOW</x:v>
      </x:c>
      <x:c r="L242" s="37" t="n">
        <x:f>ROUND(E242*F242,2)</x:f>
        <x:v>384</x:v>
      </x:c>
      <x:c r="M242" s="37" t="n">
        <x:f>ROUND(E242*G242,2)</x:f>
        <x:v>480</x:v>
      </x:c>
      <x:c r="N242" s="37" t="n">
        <x:f>ROUND(E242*I242,2)</x:f>
        <x:v>600</x:v>
      </x:c>
      <x:c r="O242" s="18" t="str">
        <x:v>One-site first-year planning quantity; allowance unless source explicitly states rate. Low/high are -20%/+25% rate sensitivity, not observed market range.</x:v>
      </x:c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48" customHeight="1">
      <x:c r="A243" s="1" t="str">
        <x:v>OPS-140</x:v>
      </x:c>
      <x:c r="B243" s="1" t="str">
        <x:v>Daycare operations</x:v>
      </x:c>
      <x:c r="C243" s="18" t="str">
        <x:v>Printing</x:v>
      </x:c>
      <x:c r="D243" s="18" t="str">
        <x:v>ink plan month</x:v>
      </x:c>
      <x:c r="E243" s="32" t="n">
        <x:v>12</x:v>
      </x:c>
      <x:c r="F243" s="33" t="n">
        <x:v>15.99</x:v>
      </x:c>
      <x:c r="G243" s="33" t="n">
        <x:v>15.99</x:v>
      </x:c>
      <x:c r="H243" s="34" t="str">
        <x:v>recurring</x:v>
      </x:c>
      <x:c r="I243" s="33" t="n">
        <x:v>15.99</x:v>
      </x:c>
      <x:c r="J243" s="35" t="str">
        <x:v>Published rate × assumed quantity</x:v>
      </x:c>
      <x:c r="K243" s="36" t="str">
        <x:v>HP</x:v>
      </x:c>
      <x:c r="L243" s="37" t="n">
        <x:f>ROUND(E243*F243,2)</x:f>
        <x:v>191.88</x:v>
      </x:c>
      <x:c r="M243" s="37" t="n">
        <x:f>ROUND(E243*G243,2)</x:f>
        <x:v>191.88</x:v>
      </x:c>
      <x:c r="N243" s="37" t="n">
        <x:f>ROUND(E243*I243,2)</x:f>
        <x:v>191.88</x:v>
      </x:c>
      <x:c r="O243" s="18" t="str">
        <x:v>One-site first-year planning quantity; allowance unless source explicitly states rate.</x:v>
      </x:c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48" customHeight="1">
      <x:c r="A244" s="1" t="str">
        <x:v>OPS-141</x:v>
      </x:c>
      <x:c r="B244" s="1" t="str">
        <x:v>Daycare operations</x:v>
      </x:c>
      <x:c r="C244" s="18" t="str">
        <x:v>Notary fees</x:v>
      </x:c>
      <x:c r="D244" s="18" t="str">
        <x:v>notarization</x:v>
      </x:c>
      <x:c r="E244" s="32" t="n">
        <x:v>10</x:v>
      </x:c>
      <x:c r="F244" s="33" t="n">
        <x:v>8</x:v>
      </x:c>
      <x:c r="G244" s="33" t="n">
        <x:v>10</x:v>
      </x:c>
      <x:c r="H244" s="34" t="str">
        <x:v>one_time</x:v>
      </x:c>
      <x:c r="I244" s="33" t="n">
        <x:v>12.5</x:v>
      </x:c>
      <x:c r="J244" s="35" t="str">
        <x:v>Planning allowance; written quote needed</x:v>
      </x:c>
      <x:c r="K244" s="36" t="str">
        <x:v>ALLOW</x:v>
      </x:c>
      <x:c r="L244" s="37" t="n">
        <x:f>ROUND(E244*F244,2)</x:f>
        <x:v>80</x:v>
      </x:c>
      <x:c r="M244" s="37" t="n">
        <x:f>ROUND(E244*G244,2)</x:f>
        <x:v>100</x:v>
      </x:c>
      <x:c r="N244" s="37" t="n">
        <x:f>ROUND(E244*I244,2)</x:f>
        <x:v>125</x:v>
      </x:c>
      <x:c r="O244" s="18" t="str">
        <x:v>One-site first-year planning quantity; allowance unless source explicitly states rate. Low/high are -20%/+25% rate sensitivity, not observed market range.</x:v>
      </x:c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48" customHeight="1">
      <x:c r="A245" s="1" t="str">
        <x:v>OPS-142</x:v>
      </x:c>
      <x:c r="B245" s="1" t="str">
        <x:v>Daycare operations</x:v>
      </x:c>
      <x:c r="C245" s="18" t="str">
        <x:v>Mailing supplies</x:v>
      </x:c>
      <x:c r="D245" s="18" t="str">
        <x:v>envelope</x:v>
      </x:c>
      <x:c r="E245" s="32" t="n">
        <x:v>100</x:v>
      </x:c>
      <x:c r="F245" s="33" t="n">
        <x:v>0.2</x:v>
      </x:c>
      <x:c r="G245" s="33" t="n">
        <x:v>0.25</x:v>
      </x:c>
      <x:c r="H245" s="34" t="str">
        <x:v>recurring</x:v>
      </x:c>
      <x:c r="I245" s="33" t="n">
        <x:v>0.3125</x:v>
      </x:c>
      <x:c r="J245" s="35" t="str">
        <x:v>Planning allowance; written quote needed</x:v>
      </x:c>
      <x:c r="K245" s="36" t="str">
        <x:v>ALLOW</x:v>
      </x:c>
      <x:c r="L245" s="37" t="n">
        <x:f>ROUND(E245*F245,2)</x:f>
        <x:v>20</x:v>
      </x:c>
      <x:c r="M245" s="37" t="n">
        <x:f>ROUND(E245*G245,2)</x:f>
        <x:v>25</x:v>
      </x:c>
      <x:c r="N245" s="37" t="n">
        <x:f>ROUND(E245*I245,2)</x:f>
        <x:v>31.25</x:v>
      </x:c>
      <x:c r="O245" s="18" t="str">
        <x:v>One-site first-year planning quantity; allowance unless source explicitly states rate. Low/high are -20%/+25% rate sensitivity, not observed market range.</x:v>
      </x:c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48" customHeight="1">
      <x:c r="A246" s="1" t="str">
        <x:v>OPS-147</x:v>
      </x:c>
      <x:c r="B246" s="1" t="str">
        <x:v>Daycare operations</x:v>
      </x:c>
      <x:c r="C246" s="18" t="str">
        <x:v>Dietitian or food consultant</x:v>
      </x:c>
      <x:c r="D246" s="18" t="str">
        <x:v>dietitian hour</x:v>
      </x:c>
      <x:c r="E246" s="32" t="n">
        <x:v>24</x:v>
      </x:c>
      <x:c r="F246" s="33" t="n">
        <x:v>120</x:v>
      </x:c>
      <x:c r="G246" s="33" t="n">
        <x:v>150</x:v>
      </x:c>
      <x:c r="H246" s="34" t="str">
        <x:v>recurring</x:v>
      </x:c>
      <x:c r="I246" s="33" t="n">
        <x:v>187.5</x:v>
      </x:c>
      <x:c r="J246" s="35" t="str">
        <x:v>Planning allowance; written quote needed</x:v>
      </x:c>
      <x:c r="K246" s="36" t="str">
        <x:v>ALLOW</x:v>
      </x:c>
      <x:c r="L246" s="37" t="n">
        <x:f>ROUND(E246*F246,2)</x:f>
        <x:v>2880</x:v>
      </x:c>
      <x:c r="M246" s="37" t="n">
        <x:f>ROUND(E246*G246,2)</x:f>
        <x:v>3600</x:v>
      </x:c>
      <x:c r="N246" s="37" t="n">
        <x:f>ROUND(E246*I246,2)</x:f>
        <x:v>4500</x:v>
      </x:c>
      <x:c r="O246" s="18" t="str">
        <x:v>One-site first-year planning quantity; allowance unless source explicitly states rate. Ongoing menu/nutrition consultation:2 hours/month; excludes initial development and staff training. Low/high are -20%/+25% rate sensitivity, not observed market range.</x:v>
      </x:c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48" customHeight="1">
      <x:c r="A247" s="1" t="str">
        <x:v>OPS-148</x:v>
      </x:c>
      <x:c r="B247" s="1" t="str">
        <x:v>Daycare operations</x:v>
      </x:c>
      <x:c r="C247" s="18" t="str">
        <x:v>Child-development advisor</x:v>
      </x:c>
      <x:c r="D247" s="18" t="str">
        <x:v>child-development hour</x:v>
      </x:c>
      <x:c r="E247" s="32" t="n">
        <x:v>24</x:v>
      </x:c>
      <x:c r="F247" s="33" t="n">
        <x:v>120</x:v>
      </x:c>
      <x:c r="G247" s="33" t="n">
        <x:v>150</x:v>
      </x:c>
      <x:c r="H247" s="34" t="str">
        <x:v>one_time</x:v>
      </x:c>
      <x:c r="I247" s="33" t="n">
        <x:v>187.5</x:v>
      </x:c>
      <x:c r="J247" s="35" t="str">
        <x:v>Planning allowance; written quote needed</x:v>
      </x:c>
      <x:c r="K247" s="36" t="str">
        <x:v>ALLOW</x:v>
      </x:c>
      <x:c r="L247" s="37" t="n">
        <x:f>ROUND(E247*F247,2)</x:f>
        <x:v>2880</x:v>
      </x:c>
      <x:c r="M247" s="37" t="n">
        <x:f>ROUND(E247*G247,2)</x:f>
        <x:v>3600</x:v>
      </x:c>
      <x:c r="N247" s="37" t="n">
        <x:f>ROUND(E247*I247,2)</x:f>
        <x:v>4500</x:v>
      </x:c>
      <x:c r="O247" s="18" t="str">
        <x:v>One-site first-year planning quantity; allowance unless source explicitly states rate. Low/high are -20%/+25% rate sensitivity, not observed market range.</x:v>
      </x:c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48" customHeight="1">
      <x:c r="A248" s="1" t="str">
        <x:v>OPS-152</x:v>
      </x:c>
      <x:c r="B248" s="1" t="str">
        <x:v>Daycare operations</x:v>
      </x:c>
      <x:c r="C248" s="18" t="str">
        <x:v>Architect or space planner</x:v>
      </x:c>
      <x:c r="D248" s="18" t="str">
        <x:v>space planning hour</x:v>
      </x:c>
      <x:c r="E248" s="32" t="n">
        <x:v>24</x:v>
      </x:c>
      <x:c r="F248" s="33" t="n">
        <x:v>140</x:v>
      </x:c>
      <x:c r="G248" s="33" t="n">
        <x:v>175</x:v>
      </x:c>
      <x:c r="H248" s="34" t="str">
        <x:v>one_time</x:v>
      </x:c>
      <x:c r="I248" s="33" t="n">
        <x:v>218.75</x:v>
      </x:c>
      <x:c r="J248" s="35" t="str">
        <x:v>Planning allowance; written quote needed</x:v>
      </x:c>
      <x:c r="K248" s="36" t="str">
        <x:v>ALLOW</x:v>
      </x:c>
      <x:c r="L248" s="37" t="n">
        <x:f>ROUND(E248*F248,2)</x:f>
        <x:v>3360</x:v>
      </x:c>
      <x:c r="M248" s="37" t="n">
        <x:f>ROUND(E248*G248,2)</x:f>
        <x:v>4200</x:v>
      </x:c>
      <x:c r="N248" s="37" t="n">
        <x:f>ROUND(E248*I248,2)</x:f>
        <x:v>5250</x:v>
      </x:c>
      <x:c r="O248" s="18" t="str">
        <x:v>One-site first-year planning quantity; allowance unless source explicitly states rate. Low/high are -20%/+25% rate sensitivity, not observed market range.</x:v>
      </x:c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48" customHeight="1">
      <x:c r="A249" s="1" t="str">
        <x:v>OPS-157</x:v>
      </x:c>
      <x:c r="B249" s="1" t="str">
        <x:v>Daycare operations</x:v>
      </x:c>
      <x:c r="C249" s="18" t="str">
        <x:v>Legal privacy review</x:v>
      </x:c>
      <x:c r="D249" s="18" t="str">
        <x:v>privacy attorney hour</x:v>
      </x:c>
      <x:c r="E249" s="32" t="n">
        <x:v>24</x:v>
      </x:c>
      <x:c r="F249" s="33" t="n">
        <x:v>280</x:v>
      </x:c>
      <x:c r="G249" s="33" t="n">
        <x:v>350</x:v>
      </x:c>
      <x:c r="H249" s="34" t="str">
        <x:v>one_time</x:v>
      </x:c>
      <x:c r="I249" s="33" t="n">
        <x:v>437.5</x:v>
      </x:c>
      <x:c r="J249" s="35" t="str">
        <x:v>Planning allowance; written quote needed</x:v>
      </x:c>
      <x:c r="K249" s="36" t="str">
        <x:v>ALLOW</x:v>
      </x:c>
      <x:c r="L249" s="37" t="n">
        <x:f>ROUND(E249*F249,2)</x:f>
        <x:v>6720</x:v>
      </x:c>
      <x:c r="M249" s="37" t="n">
        <x:f>ROUND(E249*G249,2)</x:f>
        <x:v>8400</x:v>
      </x:c>
      <x:c r="N249" s="37" t="n">
        <x:f>ROUND(E249*I249,2)</x:f>
        <x:v>10500</x:v>
      </x:c>
      <x:c r="O249" s="18" t="str">
        <x:v>One-site first-year planning quantity; allowance unless source explicitly states rate. Privacy/COPPA policy review only; excludes engineering implementation and general counsel. Low/high are -20%/+25% rate sensitivity, not observed market range.</x:v>
      </x:c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48" customHeight="1">
      <x:c r="A250" s="1" t="str">
        <x:v>ADD-CHECK-REST</x:v>
      </x:c>
      <x:c r="B250" s="1" t="str">
        <x:v>Daycare operations</x:v>
      </x:c>
      <x:c r="C250" s="18" t="str">
        <x:v>Remaining comprehensive background check components</x:v>
      </x:c>
      <x:c r="D250" s="18" t="str">
        <x:v>staff check</x:v>
      </x:c>
      <x:c r="E250" s="32" t="n">
        <x:v>15</x:v>
      </x:c>
      <x:c r="F250" s="33" t="n">
        <x:v>46.744</x:v>
      </x:c>
      <x:c r="G250" s="33" t="n">
        <x:v>58.43</x:v>
      </x:c>
      <x:c r="H250" s="34" t="str">
        <x:v>one_time</x:v>
      </x:c>
      <x:c r="I250" s="33" t="n">
        <x:v>73.0375</x:v>
      </x:c>
      <x:c r="J250" s="35" t="str">
        <x:v>Planning allowance; written quote needed</x:v>
      </x:c>
      <x:c r="K250" s="36" t="str">
        <x:v>ALLOW</x:v>
      </x:c>
      <x:c r="L250" s="37" t="n">
        <x:f>ROUND(E250*F250,2)</x:f>
        <x:v>701.16</x:v>
      </x:c>
      <x:c r="M250" s="37" t="n">
        <x:f>ROUND(E250*G250,2)</x:f>
        <x:v>876.45</x:v>
      </x:c>
      <x:c r="N250" s="37" t="n">
        <x:f>ROUND(E250*I250,2)</x:f>
        <x:v>1095.56</x:v>
      </x:c>
      <x:c r="O250" s="18" t="str">
        <x:v>Unquoted fingerprint and other comprehensive-check components remaining after $16.57 FCSR. Combined $75/staff is an allowance, not published comprehensive fee. Low/high are -20%/+25% rate sensitivity, not observed market range.</x:v>
      </x:c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48" customHeight="1">
      <x:c r="A251" s="1" t="str">
        <x:v>ADD-PERMIT-CHILD</x:v>
      </x:c>
      <x:c r="B251" s="1" t="str">
        <x:v>Daycare operations</x:v>
      </x:c>
      <x:c r="C251" s="18" t="str">
        <x:v>City child-care permit</x:v>
      </x:c>
      <x:c r="D251" s="18" t="str">
        <x:v>permit/assessment</x:v>
      </x:c>
      <x:c r="E251" s="32" t="n">
        <x:v>1</x:v>
      </x:c>
      <x:c r="F251" s="33" t="n">
        <x:v>250</x:v>
      </x:c>
      <x:c r="G251" s="33" t="n">
        <x:v>250</x:v>
      </x:c>
      <x:c r="H251" s="34" t="str">
        <x:v>one_time</x:v>
      </x:c>
      <x:c r="I251" s="33" t="n">
        <x:v>250</x:v>
      </x:c>
      <x:c r="J251" s="35" t="str">
        <x:v>Published rate × assumed quantity</x:v>
      </x:c>
      <x:c r="K251" s="36" t="str">
        <x:v>CITYCHILD</x:v>
      </x:c>
      <x:c r="L251" s="37" t="n">
        <x:f>ROUND(E251*F251,2)</x:f>
        <x:v>250</x:v>
      </x:c>
      <x:c r="M251" s="37" t="n">
        <x:f>ROUND(E251*G251,2)</x:f>
        <x:v>250</x:v>
      </x:c>
      <x:c r="N251" s="37" t="n">
        <x:f>ROUND(E251*I251,2)</x:f>
        <x:v>250</x:v>
      </x:c>
      <x:c r="O251" s="18" t="str">
        <x:v>Assumes permit needed once during year one; existing valid permit could remove cost.</x:v>
      </x:c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48" customHeight="1">
      <x:c r="A252" s="1" t="str">
        <x:v>ADD-PERMIT-FOOD</x:v>
      </x:c>
      <x:c r="B252" s="1" t="str">
        <x:v>Daycare operations</x:v>
      </x:c>
      <x:c r="C252" s="18" t="str">
        <x:v>Food-service permit</x:v>
      </x:c>
      <x:c r="D252" s="18" t="str">
        <x:v>permit/assessment</x:v>
      </x:c>
      <x:c r="E252" s="32" t="n">
        <x:v>1</x:v>
      </x:c>
      <x:c r="F252" s="33" t="n">
        <x:v>600</x:v>
      </x:c>
      <x:c r="G252" s="33" t="n">
        <x:v>600</x:v>
      </x:c>
      <x:c r="H252" s="34" t="str">
        <x:v>one_time</x:v>
      </x:c>
      <x:c r="I252" s="33" t="n">
        <x:v>600</x:v>
      </x:c>
      <x:c r="J252" s="35" t="str">
        <x:v>Published rate × assumed quantity</x:v>
      </x:c>
      <x:c r="K252" s="36" t="str">
        <x:v>CITYFOOD</x:v>
      </x:c>
      <x:c r="L252" s="37" t="n">
        <x:f>ROUND(E252*F252,2)</x:f>
        <x:v>600</x:v>
      </x:c>
      <x:c r="M252" s="37" t="n">
        <x:f>ROUND(E252*G252,2)</x:f>
        <x:v>600</x:v>
      </x:c>
      <x:c r="N252" s="37" t="n">
        <x:f>ROUND(E252*I252,2)</x:f>
        <x:v>600</x:v>
      </x:c>
      <x:c r="O252" s="18" t="str">
        <x:v>High-risk allowance selected conservatively; city must establish whether separate food permit is required and risk tier. Remove/reduce on determination.</x:v>
      </x:c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48" customHeight="1">
      <x:c r="A253" s="1" t="str">
        <x:v>ADD-PERMIT-FOODPLAN</x:v>
      </x:c>
      <x:c r="B253" s="1" t="str">
        <x:v>Daycare operations</x:v>
      </x:c>
      <x:c r="C253" s="18" t="str">
        <x:v>Food-service plan review</x:v>
      </x:c>
      <x:c r="D253" s="18" t="str">
        <x:v>permit/assessment</x:v>
      </x:c>
      <x:c r="E253" s="32" t="n">
        <x:v>1</x:v>
      </x:c>
      <x:c r="F253" s="33" t="n">
        <x:v>300</x:v>
      </x:c>
      <x:c r="G253" s="33" t="n">
        <x:v>300</x:v>
      </x:c>
      <x:c r="H253" s="34" t="str">
        <x:v>one_time</x:v>
      </x:c>
      <x:c r="I253" s="33" t="n">
        <x:v>300</x:v>
      </x:c>
      <x:c r="J253" s="35" t="str">
        <x:v>Published rate × assumed quantity</x:v>
      </x:c>
      <x:c r="K253" s="36" t="str">
        <x:v>CITYFOOD</x:v>
      </x:c>
      <x:c r="L253" s="37" t="n">
        <x:f>ROUND(E253*F253,2)</x:f>
        <x:v>300</x:v>
      </x:c>
      <x:c r="M253" s="37" t="n">
        <x:f>ROUND(E253*G253,2)</x:f>
        <x:v>300</x:v>
      </x:c>
      <x:c r="N253" s="37" t="n">
        <x:f>ROUND(E253*I253,2)</x:f>
        <x:v>300</x:v>
      </x:c>
      <x:c r="O253" s="18" t="str">
        <x:v>Conditional on new/revised food operation requiring review; existing approval could remove.</x:v>
      </x:c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48" customHeight="1">
      <x:c r="A254" s="1" t="str">
        <x:v>ADD-PERMIT-HANDLER</x:v>
      </x:c>
      <x:c r="B254" s="1" t="str">
        <x:v>Daycare operations</x:v>
      </x:c>
      <x:c r="C254" s="18" t="str">
        <x:v>Food handler permit</x:v>
      </x:c>
      <x:c r="D254" s="18" t="str">
        <x:v>permit/assessment</x:v>
      </x:c>
      <x:c r="E254" s="32" t="n">
        <x:v>2</x:v>
      </x:c>
      <x:c r="F254" s="33" t="n">
        <x:v>25</x:v>
      </x:c>
      <x:c r="G254" s="33" t="n">
        <x:v>25</x:v>
      </x:c>
      <x:c r="H254" s="34" t="str">
        <x:v>one_time</x:v>
      </x:c>
      <x:c r="I254" s="33" t="n">
        <x:v>25</x:v>
      </x:c>
      <x:c r="J254" s="35" t="str">
        <x:v>Published rate × assumed quantity</x:v>
      </x:c>
      <x:c r="K254" s="36" t="str">
        <x:v>CITYHAND</x:v>
      </x:c>
      <x:c r="L254" s="37" t="n">
        <x:f>ROUND(E254*F254,2)</x:f>
        <x:v>50</x:v>
      </x:c>
      <x:c r="M254" s="37" t="n">
        <x:f>ROUND(E254*G254,2)</x:f>
        <x:v>50</x:v>
      </x:c>
      <x:c r="N254" s="37" t="n">
        <x:f>ROUND(E254*I254,2)</x:f>
        <x:v>50</x:v>
      </x:c>
      <x:c r="O254" s="18" t="str">
        <x:v>Cook plus backup employee; assumes neither has current valid permit.</x:v>
      </x:c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48" customHeight="1">
      <x:c r="A255" s="1" t="str">
        <x:v>ADD-PERMIT-MANAGER</x:v>
      </x:c>
      <x:c r="B255" s="1" t="str">
        <x:v>Daycare operations</x:v>
      </x:c>
      <x:c r="C255" s="18" t="str">
        <x:v>Food manager permit</x:v>
      </x:c>
      <x:c r="D255" s="18" t="str">
        <x:v>permit/assessment</x:v>
      </x:c>
      <x:c r="E255" s="32" t="n">
        <x:v>1</x:v>
      </x:c>
      <x:c r="F255" s="33" t="n">
        <x:v>30</x:v>
      </x:c>
      <x:c r="G255" s="33" t="n">
        <x:v>30</x:v>
      </x:c>
      <x:c r="H255" s="34" t="str">
        <x:v>one_time</x:v>
      </x:c>
      <x:c r="I255" s="33" t="n">
        <x:v>30</x:v>
      </x:c>
      <x:c r="J255" s="35" t="str">
        <x:v>Published rate × assumed quantity</x:v>
      </x:c>
      <x:c r="K255" s="36" t="str">
        <x:v>CITYHAND</x:v>
      </x:c>
      <x:c r="L255" s="37" t="n">
        <x:f>ROUND(E255*F255,2)</x:f>
        <x:v>30</x:v>
      </x:c>
      <x:c r="M255" s="37" t="n">
        <x:f>ROUND(E255*G255,2)</x:f>
        <x:v>30</x:v>
      </x:c>
      <x:c r="N255" s="37" t="n">
        <x:f>ROUND(E255*I255,2)</x:f>
        <x:v>30</x:v>
      </x:c>
      <x:c r="O255" s="18" t="str">
        <x:v>Assumes one manager credential required and not already held.</x:v>
      </x:c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48" customHeight="1">
      <x:c r="A256" s="1" t="str">
        <x:v>ADD-PERMIT-BIZ</x:v>
      </x:c>
      <x:c r="B256" s="1" t="str">
        <x:v>Daycare operations</x:v>
      </x:c>
      <x:c r="C256" s="18" t="str">
        <x:v>City business license</x:v>
      </x:c>
      <x:c r="D256" s="18" t="str">
        <x:v>permit/assessment</x:v>
      </x:c>
      <x:c r="E256" s="32" t="n">
        <x:v>1</x:v>
      </x:c>
      <x:c r="F256" s="33" t="n">
        <x:v>222.25</x:v>
      </x:c>
      <x:c r="G256" s="33" t="n">
        <x:v>222.25</x:v>
      </x:c>
      <x:c r="H256" s="34" t="str">
        <x:v>one_time</x:v>
      </x:c>
      <x:c r="I256" s="33" t="n">
        <x:v>222.25</x:v>
      </x:c>
      <x:c r="J256" s="35" t="str">
        <x:v>Published rate × assumed quantity</x:v>
      </x:c>
      <x:c r="K256" s="36" t="str">
        <x:v>CITYBIZ</x:v>
      </x:c>
      <x:c r="L256" s="37" t="n">
        <x:f>ROUND(E256*F256,2)</x:f>
        <x:v>222.25</x:v>
      </x:c>
      <x:c r="M256" s="37" t="n">
        <x:f>ROUND(E256*G256,2)</x:f>
        <x:v>222.25</x:v>
      </x:c>
      <x:c r="N256" s="37" t="n">
        <x:f>ROUND(E256*I256,2)</x:f>
        <x:v>222.25</x:v>
      </x:c>
      <x:c r="O256" s="18" t="str">
        <x:v>75 +475 ×0.31; $500,000 annual receipt input is NOT a forecast. Actual licensed entity and receipts control.</x:v>
      </x:c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48" customHeight="1">
      <x:c r="A257" s="1" t="str">
        <x:v>ADD-PERMIT-OCCUP</x:v>
      </x:c>
      <x:c r="B257" s="1" t="str">
        <x:v>Daycare operations</x:v>
      </x:c>
      <x:c r="C257" s="18" t="str">
        <x:v>Occupancy permit</x:v>
      </x:c>
      <x:c r="D257" s="18" t="str">
        <x:v>permit/assessment</x:v>
      </x:c>
      <x:c r="E257" s="32" t="n">
        <x:v>1</x:v>
      </x:c>
      <x:c r="F257" s="33" t="n">
        <x:v>20</x:v>
      </x:c>
      <x:c r="G257" s="33" t="n">
        <x:v>20</x:v>
      </x:c>
      <x:c r="H257" s="34" t="str">
        <x:v>one_time</x:v>
      </x:c>
      <x:c r="I257" s="33" t="n">
        <x:v>20</x:v>
      </x:c>
      <x:c r="J257" s="35" t="str">
        <x:v>Published rate × assumed quantity</x:v>
      </x:c>
      <x:c r="K257" s="36" t="str">
        <x:v>CITYBUILD</x:v>
      </x:c>
      <x:c r="L257" s="37" t="n">
        <x:f>ROUND(E257*F257,2)</x:f>
        <x:v>20</x:v>
      </x:c>
      <x:c r="M257" s="37" t="n">
        <x:f>ROUND(E257*G257,2)</x:f>
        <x:v>20</x:v>
      </x:c>
      <x:c r="N257" s="37" t="n">
        <x:f>ROUND(E257*I257,2)</x:f>
        <x:v>20</x:v>
      </x:c>
      <x:c r="O257" s="18" t="str">
        <x:v>Dated schedule; conditional on occupancy review, current amount unconfirmed.</x:v>
      </x:c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48" customHeight="1">
      <x:c r="A258" s="1" t="str">
        <x:v>ADD-PERMIT-BUILDPLAN</x:v>
      </x:c>
      <x:c r="B258" s="1" t="str">
        <x:v>Daycare operations</x:v>
      </x:c>
      <x:c r="C258" s="18" t="str">
        <x:v>Construction plan review</x:v>
      </x:c>
      <x:c r="D258" s="18" t="str">
        <x:v>permit/assessment</x:v>
      </x:c>
      <x:c r="E258" s="32" t="n">
        <x:v>1</x:v>
      </x:c>
      <x:c r="F258" s="33" t="n">
        <x:v>450</x:v>
      </x:c>
      <x:c r="G258" s="33" t="n">
        <x:v>450</x:v>
      </x:c>
      <x:c r="H258" s="34" t="str">
        <x:v>one_time</x:v>
      </x:c>
      <x:c r="I258" s="33" t="n">
        <x:v>450</x:v>
      </x:c>
      <x:c r="J258" s="35" t="str">
        <x:v>Published rate × assumed quantity</x:v>
      </x:c>
      <x:c r="K258" s="36" t="str">
        <x:v>CITYBUILD</x:v>
      </x:c>
      <x:c r="L258" s="37" t="n">
        <x:f>ROUND(E258*F258,2)</x:f>
        <x:v>450</x:v>
      </x:c>
      <x:c r="M258" s="37" t="n">
        <x:f>ROUND(E258*G258,2)</x:f>
        <x:v>450</x:v>
      </x:c>
      <x:c r="N258" s="37" t="n">
        <x:f>ROUND(E258*I258,2)</x:f>
        <x:v>450</x:v>
      </x:c>
      <x:c r="O258" s="18" t="str">
        <x:v>Dated schedule at proposed 4,500 SF; conditional on alterations. Building permit fees beyond plan review need project-specific quote.</x:v>
      </x:c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48" customHeight="1">
      <x:c r="A259" s="1" t="str">
        <x:v>ADD-PERMIT-REINSPECT</x:v>
      </x:c>
      <x:c r="B259" s="1" t="str">
        <x:v>Daycare operations</x:v>
      </x:c>
      <x:c r="C259" s="18" t="str">
        <x:v>Health reinspection allowance</x:v>
      </x:c>
      <x:c r="D259" s="18" t="str">
        <x:v>permit/assessment</x:v>
      </x:c>
      <x:c r="E259" s="32" t="n">
        <x:v>1</x:v>
      </x:c>
      <x:c r="F259" s="33" t="n">
        <x:v>40</x:v>
      </x:c>
      <x:c r="G259" s="33" t="n">
        <x:v>50</x:v>
      </x:c>
      <x:c r="H259" s="34" t="str">
        <x:v>one_time</x:v>
      </x:c>
      <x:c r="I259" s="33" t="n">
        <x:v>62.5</x:v>
      </x:c>
      <x:c r="J259" s="35" t="str">
        <x:v>Planning allowance; written quote needed</x:v>
      </x:c>
      <x:c r="K259" s="36" t="str">
        <x:v>ALLOW</x:v>
      </x:c>
      <x:c r="L259" s="37" t="n">
        <x:f>ROUND(E259*F259,2)</x:f>
        <x:v>40</x:v>
      </x:c>
      <x:c r="M259" s="37" t="n">
        <x:f>ROUND(E259*G259,2)</x:f>
        <x:v>50</x:v>
      </x:c>
      <x:c r="N259" s="37" t="n">
        <x:f>ROUND(E259*I259,2)</x:f>
        <x:v>62.5</x:v>
      </x:c>
      <x:c r="O259" s="18" t="str">
        <x:v>Contingent visit, dated city fee; remove if no reinspection. Low/high are -20%/+25% rate sensitivity, not observed market range.</x:v>
      </x:c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48" customHeight="1">
      <x:c r="A260" s="1" t="str">
        <x:v>ADD-PERMIT-REOPEN</x:v>
      </x:c>
      <x:c r="B260" s="1" t="str">
        <x:v>Daycare operations</x:v>
      </x:c>
      <x:c r="C260" s="18" t="str">
        <x:v>Health reopening allowance</x:v>
      </x:c>
      <x:c r="D260" s="18" t="str">
        <x:v>permit/assessment</x:v>
      </x:c>
      <x:c r="E260" s="32" t="n">
        <x:v>1</x:v>
      </x:c>
      <x:c r="F260" s="33" t="n">
        <x:v>80</x:v>
      </x:c>
      <x:c r="G260" s="33" t="n">
        <x:v>100</x:v>
      </x:c>
      <x:c r="H260" s="34" t="str">
        <x:v>one_time</x:v>
      </x:c>
      <x:c r="I260" s="33" t="n">
        <x:v>125</x:v>
      </x:c>
      <x:c r="J260" s="35" t="str">
        <x:v>Planning allowance; written quote needed</x:v>
      </x:c>
      <x:c r="K260" s="36" t="str">
        <x:v>ALLOW</x:v>
      </x:c>
      <x:c r="L260" s="37" t="n">
        <x:f>ROUND(E260*F260,2)</x:f>
        <x:v>80</x:v>
      </x:c>
      <x:c r="M260" s="37" t="n">
        <x:f>ROUND(E260*G260,2)</x:f>
        <x:v>100</x:v>
      </x:c>
      <x:c r="N260" s="37" t="n">
        <x:f>ROUND(E260*I260,2)</x:f>
        <x:v>125</x:v>
      </x:c>
      <x:c r="O260" s="18" t="str">
        <x:v>Contingent event, dated city fee; remove if no reopening. Low/high are -20%/+25% rate sensitivity, not observed market range.</x:v>
      </x:c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48" customHeight="1">
      <x:c r="A261" s="1" t="str">
        <x:v>ADD-PERMIT-STATE</x:v>
      </x:c>
      <x:c r="B261" s="1" t="str">
        <x:v>Daycare operations</x:v>
      </x:c>
      <x:c r="C261" s="18" t="str">
        <x:v>State licensing administrative fee contingency</x:v>
      </x:c>
      <x:c r="D261" s="18" t="str">
        <x:v>permit/assessment</x:v>
      </x:c>
      <x:c r="E261" s="32" t="n">
        <x:v>1</x:v>
      </x:c>
      <x:c r="F261" s="33" t="n">
        <x:v>200</x:v>
      </x:c>
      <x:c r="G261" s="33" t="n">
        <x:v>250</x:v>
      </x:c>
      <x:c r="H261" s="34" t="str">
        <x:v>one_time</x:v>
      </x:c>
      <x:c r="I261" s="33" t="n">
        <x:v>312.5</x:v>
      </x:c>
      <x:c r="J261" s="35" t="str">
        <x:v>Planning allowance; written quote needed</x:v>
      </x:c>
      <x:c r="K261" s="36" t="str">
        <x:v>ALLOW</x:v>
      </x:c>
      <x:c r="L261" s="37" t="n">
        <x:f>ROUND(E261*F261,2)</x:f>
        <x:v>200</x:v>
      </x:c>
      <x:c r="M261" s="37" t="n">
        <x:f>ROUND(E261*G261,2)</x:f>
        <x:v>250</x:v>
      </x:c>
      <x:c r="N261" s="37" t="n">
        <x:f>ROUND(E261*I261,2)</x:f>
        <x:v>312.5</x:v>
      </x:c>
      <x:c r="O261" s="18" t="str">
        <x:v>No published state license fee established. $250 contingent allowance, NOT an asserted Missouri fee; release only on assessed charge. Low/high are -20%/+25% rate sensitivity, not observed market range.</x:v>
      </x:c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48" customHeight="1">
      <x:c r="A262" s="1" t="str">
        <x:v>ADD-PERMIT-CONSTRUCTION</x:v>
      </x:c>
      <x:c r="B262" s="1" t="str">
        <x:v>Daycare operations</x:v>
      </x:c>
      <x:c r="C262" s="18" t="str">
        <x:v>Project-specific building permit allowance</x:v>
      </x:c>
      <x:c r="D262" s="18" t="str">
        <x:v>permit/assessment</x:v>
      </x:c>
      <x:c r="E262" s="32" t="n">
        <x:v>1</x:v>
      </x:c>
      <x:c r="F262" s="33" t="n">
        <x:v>800</x:v>
      </x:c>
      <x:c r="G262" s="33" t="n">
        <x:v>1000</x:v>
      </x:c>
      <x:c r="H262" s="34" t="str">
        <x:v>one_time</x:v>
      </x:c>
      <x:c r="I262" s="33" t="n">
        <x:v>1250</x:v>
      </x:c>
      <x:c r="J262" s="35" t="str">
        <x:v>Planning allowance; written quote needed</x:v>
      </x:c>
      <x:c r="K262" s="36" t="str">
        <x:v>ALLOW</x:v>
      </x:c>
      <x:c r="L262" s="37" t="n">
        <x:f>ROUND(E262*F262,2)</x:f>
        <x:v>800</x:v>
      </x:c>
      <x:c r="M262" s="37" t="n">
        <x:f>ROUND(E262*G262,2)</x:f>
        <x:v>1000</x:v>
      </x:c>
      <x:c r="N262" s="37" t="n">
        <x:f>ROUND(E262*I262,2)</x:f>
        <x:v>1250</x:v>
      </x:c>
      <x:c r="O262" s="18" t="str">
        <x:v>Unknown construction scope; unquoted fee placeholder distinct from plan review. No construction contract implied. Low/high are -20%/+25% rate sensitivity, not observed market range.</x:v>
      </x:c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48" customHeight="1">
      <x:c r="A263" s="1" t="str">
        <x:v>EXT-004</x:v>
      </x:c>
      <x:c r="B263" s="1" t="str">
        <x:v>Other business facets</x:v>
      </x:c>
      <x:c r="C263" s="18" t="str">
        <x:v>Domain registration and renewal</x:v>
      </x:c>
      <x:c r="D263" s="18" t="str">
        <x:v>domain-year</x:v>
      </x:c>
      <x:c r="E263" s="32" t="n">
        <x:v>1</x:v>
      </x:c>
      <x:c r="F263" s="33" t="n">
        <x:v>48</x:v>
      </x:c>
      <x:c r="G263" s="33" t="n">
        <x:v>60</x:v>
      </x:c>
      <x:c r="H263" s="34" t="str">
        <x:v>recurring</x:v>
      </x:c>
      <x:c r="I263" s="33" t="n">
        <x:v>75</x:v>
      </x:c>
      <x:c r="J263" s="35" t="str">
        <x:v>Planning allowance; written quote needed</x:v>
      </x:c>
      <x:c r="K263" s="36" t="str">
        <x:v>ALLOW</x:v>
      </x:c>
      <x:c r="L263" s="37" t="n">
        <x:f>ROUND(E263*F263,2)</x:f>
        <x:v>48</x:v>
      </x:c>
      <x:c r="M263" s="37" t="n">
        <x:f>ROUND(E263*G263,2)</x:f>
        <x:v>60</x:v>
      </x:c>
      <x:c r="N263" s="37" t="n">
        <x:f>ROUND(E263*I263,2)</x:f>
        <x:v>75</x:v>
      </x:c>
      <x:c r="O263" s="18" t="str">
        <x:v>Assumed usage/quantity; vendor pricing only verified for specific named unit. Taxes, freight and overhead listed separately. Low/high are -20%/+25% rate sensitivity, not observed market range.</x:v>
      </x:c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48" customHeight="1">
      <x:c r="A264" s="1" t="str">
        <x:v>EXT-006</x:v>
      </x:c>
      <x:c r="B264" s="1" t="str">
        <x:v>Other business facets</x:v>
      </x:c>
      <x:c r="C264" s="18" t="str">
        <x:v>DigitalOcean application compute</x:v>
      </x:c>
      <x:c r="D264" s="18" t="str">
        <x:v>server-month</x:v>
      </x:c>
      <x:c r="E264" s="32" t="n">
        <x:v>24</x:v>
      </x:c>
      <x:c r="F264" s="33" t="n">
        <x:v>38.4</x:v>
      </x:c>
      <x:c r="G264" s="33" t="n">
        <x:v>48</x:v>
      </x:c>
      <x:c r="H264" s="34" t="str">
        <x:v>recurring</x:v>
      </x:c>
      <x:c r="I264" s="33" t="n">
        <x:v>60</x:v>
      </x:c>
      <x:c r="J264" s="35" t="str">
        <x:v>Planning allowance; written quote needed</x:v>
      </x:c>
      <x:c r="K264" s="36" t="str">
        <x:v>DO</x:v>
      </x:c>
      <x:c r="L264" s="37" t="n">
        <x:f>ROUND(E264*F264,2)</x:f>
        <x:v>921.6</x:v>
      </x:c>
      <x:c r="M264" s="37" t="n">
        <x:f>ROUND(E264*G264,2)</x:f>
        <x:v>1152</x:v>
      </x:c>
      <x:c r="N264" s="37" t="n">
        <x:f>ROUND(E264*I264,2)</x:f>
        <x:v>1440</x:v>
      </x:c>
      <x:c r="O264" s="18" t="str">
        <x:v>Two environments ×12 months. $48/server/month configuration allowance. Low/high are -20%/+25% rate sensitivity, not observed market range.</x:v>
      </x:c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48" customHeight="1">
      <x:c r="A265" s="1" t="str">
        <x:v>EXT-008</x:v>
      </x:c>
      <x:c r="B265" s="1" t="str">
        <x:v>Other business facets</x:v>
      </x:c>
      <x:c r="C265" s="18" t="str">
        <x:v>Supabase production subscription</x:v>
      </x:c>
      <x:c r="D265" s="18" t="str">
        <x:v>organization-month</x:v>
      </x:c>
      <x:c r="E265" s="32" t="n">
        <x:v>24</x:v>
      </x:c>
      <x:c r="F265" s="33" t="n">
        <x:v>25</x:v>
      </x:c>
      <x:c r="G265" s="33" t="n">
        <x:v>25</x:v>
      </x:c>
      <x:c r="H265" s="34" t="str">
        <x:v>recurring</x:v>
      </x:c>
      <x:c r="I265" s="33" t="n">
        <x:v>25</x:v>
      </x:c>
      <x:c r="J265" s="35" t="str">
        <x:v>Published rate × assumed quantity</x:v>
      </x:c>
      <x:c r="K265" s="36" t="str">
        <x:v>SUPA</x:v>
      </x:c>
      <x:c r="L265" s="37" t="n">
        <x:f>ROUND(E265*F265,2)</x:f>
        <x:v>600</x:v>
      </x:c>
      <x:c r="M265" s="37" t="n">
        <x:f>ROUND(E265*G265,2)</x:f>
        <x:v>600</x:v>
      </x:c>
      <x:c r="N265" s="37" t="n">
        <x:f>ROUND(E265*I265,2)</x:f>
        <x:v>600</x:v>
      </x:c>
      <x:c r="O265" s="18" t="str">
        <x:v>Two separate Pro organizations ×12 months, one staging and one production, each with its own $10 monthly compute credit.</x:v>
      </x:c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48" customHeight="1">
      <x:c r="A266" s="1" t="str">
        <x:v>EXT-009</x:v>
      </x:c>
      <x:c r="B266" s="1" t="str">
        <x:v>Other business facets</x:v>
      </x:c>
      <x:c r="C266" s="18" t="str">
        <x:v>Supabase compute overage</x:v>
      </x:c>
      <x:c r="D266" s="18" t="str">
        <x:v>project-month net credit</x:v>
      </x:c>
      <x:c r="E266" s="32" t="n">
        <x:v>24</x:v>
      </x:c>
      <x:c r="F266" s="33" t="n">
        <x:v>5</x:v>
      </x:c>
      <x:c r="G266" s="33" t="n">
        <x:v>5</x:v>
      </x:c>
      <x:c r="H266" s="34" t="str">
        <x:v>recurring</x:v>
      </x:c>
      <x:c r="I266" s="33" t="n">
        <x:v>5</x:v>
      </x:c>
      <x:c r="J266" s="35" t="str">
        <x:v>Published rate × assumed quantity</x:v>
      </x:c>
      <x:c r="K266" s="36" t="str">
        <x:v>SUPA</x:v>
      </x:c>
      <x:c r="L266" s="37" t="n">
        <x:f>ROUND(E266*F266,2)</x:f>
        <x:v>120</x:v>
      </x:c>
      <x:c r="M266" s="37" t="n">
        <x:f>ROUND(E266*G266,2)</x:f>
        <x:v>120</x:v>
      </x:c>
      <x:c r="N266" s="37" t="n">
        <x:f>ROUND(E266*I266,2)</x:f>
        <x:v>120</x:v>
      </x:c>
      <x:c r="O266" s="18" t="str">
        <x:v>Two Small compute instances ×12 months: $15 each less the separate organization credit of $10. Not a second credit within one organization.</x:v>
      </x:c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48" customHeight="1">
      <x:c r="A267" s="1" t="str">
        <x:v>EXT-011</x:v>
      </x:c>
      <x:c r="B267" s="1" t="str">
        <x:v>Other business facets</x:v>
      </x:c>
      <x:c r="C267" s="18" t="str">
        <x:v>Private object storage overage</x:v>
      </x:c>
      <x:c r="D267" s="18" t="str">
        <x:v>GB-month above free tier</x:v>
      </x:c>
      <x:c r="E267" s="32" t="n">
        <x:v>2400</x:v>
      </x:c>
      <x:c r="F267" s="33" t="n">
        <x:v>0.015</x:v>
      </x:c>
      <x:c r="G267" s="33" t="n">
        <x:v>0.015</x:v>
      </x:c>
      <x:c r="H267" s="34" t="str">
        <x:v>recurring</x:v>
      </x:c>
      <x:c r="I267" s="33" t="n">
        <x:v>0.015</x:v>
      </x:c>
      <x:c r="J267" s="35" t="str">
        <x:v>Published rate × assumed quantity</x:v>
      </x:c>
      <x:c r="K267" s="36" t="str">
        <x:v>R2</x:v>
      </x:c>
      <x:c r="L267" s="37" t="n">
        <x:f>ROUND(E267*F267,2)</x:f>
        <x:v>36</x:v>
      </x:c>
      <x:c r="M267" s="37" t="n">
        <x:f>ROUND(E267*G267,2)</x:f>
        <x:v>36</x:v>
      </x:c>
      <x:c r="N267" s="37" t="n">
        <x:f>ROUND(E267*I267,2)</x:f>
        <x:v>36</x:v>
      </x:c>
      <x:c r="O267" s="18" t="str">
        <x:v>Assumed usage/quantity; vendor pricing only verified for specific named unit. Taxes, freight and overhead listed separately.</x:v>
      </x:c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48" customHeight="1">
      <x:c r="A268" s="1" t="str">
        <x:v>EXT-013</x:v>
      </x:c>
      <x:c r="B268" s="1" t="str">
        <x:v>Other business facets</x:v>
      </x:c>
      <x:c r="C268" s="18" t="str">
        <x:v>Database point-in-time recovery subscription</x:v>
      </x:c>
      <x:c r="D268" s="18" t="str">
        <x:v>production month</x:v>
      </x:c>
      <x:c r="E268" s="32" t="n">
        <x:v>12</x:v>
      </x:c>
      <x:c r="F268" s="33" t="n">
        <x:v>100</x:v>
      </x:c>
      <x:c r="G268" s="33" t="n">
        <x:v>100</x:v>
      </x:c>
      <x:c r="H268" s="34" t="str">
        <x:v>recurring</x:v>
      </x:c>
      <x:c r="I268" s="33" t="n">
        <x:v>100</x:v>
      </x:c>
      <x:c r="J268" s="35" t="str">
        <x:v>Published rate × assumed quantity</x:v>
      </x:c>
      <x:c r="K268" s="36" t="str">
        <x:v>SUPA</x:v>
      </x:c>
      <x:c r="L268" s="37" t="n">
        <x:f>ROUND(E268*F268,2)</x:f>
        <x:v>1200</x:v>
      </x:c>
      <x:c r="M268" s="37" t="n">
        <x:f>ROUND(E268*G268,2)</x:f>
        <x:v>1200</x:v>
      </x:c>
      <x:c r="N268" s="37" t="n">
        <x:f>ROUND(E268*I268,2)</x:f>
        <x:v>1200</x:v>
      </x:c>
      <x:c r="O268" s="18" t="str">
        <x:v>Assumed usage/quantity; vendor pricing only verified for specific named unit. Taxes, freight and overhead listed separately.</x:v>
      </x:c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48" customHeight="1">
      <x:c r="A269" s="1" t="str">
        <x:v>EXT-014</x:v>
      </x:c>
      <x:c r="B269" s="1" t="str">
        <x:v>Other business facets</x:v>
      </x:c>
      <x:c r="C269" s="18" t="str">
        <x:v>Independent object-file backup storage</x:v>
      </x:c>
      <x:c r="D269" s="18" t="str">
        <x:v>TB-month</x:v>
      </x:c>
      <x:c r="E269" s="32" t="n">
        <x:v>60</x:v>
      </x:c>
      <x:c r="F269" s="33" t="n">
        <x:v>6.95</x:v>
      </x:c>
      <x:c r="G269" s="33" t="n">
        <x:v>6.95</x:v>
      </x:c>
      <x:c r="H269" s="34" t="str">
        <x:v>recurring</x:v>
      </x:c>
      <x:c r="I269" s="33" t="n">
        <x:v>6.95</x:v>
      </x:c>
      <x:c r="J269" s="35" t="str">
        <x:v>Published rate × assumed quantity</x:v>
      </x:c>
      <x:c r="K269" s="36" t="str">
        <x:v>B2</x:v>
      </x:c>
      <x:c r="L269" s="37" t="n">
        <x:f>ROUND(E269*F269,2)</x:f>
        <x:v>417</x:v>
      </x:c>
      <x:c r="M269" s="37" t="n">
        <x:f>ROUND(E269*G269,2)</x:f>
        <x:v>417</x:v>
      </x:c>
      <x:c r="N269" s="37" t="n">
        <x:f>ROUND(E269*I269,2)</x:f>
        <x:v>417</x:v>
      </x:c>
      <x:c r="O269" s="18" t="str">
        <x:v>Assumed usage/quantity; vendor pricing only verified for specific named unit. Taxes, freight and overhead listed separately.</x:v>
      </x:c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48" customHeight="1">
      <x:c r="A270" s="1" t="str">
        <x:v>EXT-016</x:v>
      </x:c>
      <x:c r="B270" s="1" t="str">
        <x:v>Other business facets</x:v>
      </x:c>
      <x:c r="C270" s="18" t="str">
        <x:v>Restore drill labor</x:v>
      </x:c>
      <x:c r="D270" s="18" t="str">
        <x:v>restore drill hour</x:v>
      </x:c>
      <x:c r="E270" s="32" t="n">
        <x:v>32</x:v>
      </x:c>
      <x:c r="F270" s="33" t="n">
        <x:v>140</x:v>
      </x:c>
      <x:c r="G270" s="33" t="n">
        <x:v>175</x:v>
      </x:c>
      <x:c r="H270" s="34" t="str">
        <x:v>recurring</x:v>
      </x:c>
      <x:c r="I270" s="33" t="n">
        <x:v>218.75</x:v>
      </x:c>
      <x:c r="J270" s="35" t="str">
        <x:v>Planning allowance; written quote needed</x:v>
      </x:c>
      <x:c r="K270" s="36" t="str">
        <x:v>ALLOW</x:v>
      </x:c>
      <x:c r="L270" s="37" t="n">
        <x:f>ROUND(E270*F270,2)</x:f>
        <x:v>4480</x:v>
      </x:c>
      <x:c r="M270" s="37" t="n">
        <x:f>ROUND(E270*G270,2)</x:f>
        <x:v>5600</x:v>
      </x:c>
      <x:c r="N270" s="37" t="n">
        <x:f>ROUND(E270*I270,2)</x:f>
        <x:v>7000</x:v>
      </x:c>
      <x:c r="O270" s="18" t="str">
        <x:v>Assumed usage/quantity; vendor pricing only verified for specific named unit. Taxes, freight and overhead listed separately. Low/high are -20%/+25% rate sensitivity, not observed market range.</x:v>
      </x:c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48" customHeight="1">
      <x:c r="A271" s="1" t="str">
        <x:v>EXT-018</x:v>
      </x:c>
      <x:c r="B271" s="1" t="str">
        <x:v>Other business facets</x:v>
      </x:c>
      <x:c r="C271" s="18" t="str">
        <x:v>Monitoring subscription</x:v>
      </x:c>
      <x:c r="D271" s="18" t="str">
        <x:v>month</x:v>
      </x:c>
      <x:c r="E271" s="32" t="n">
        <x:v>12</x:v>
      </x:c>
      <x:c r="F271" s="33" t="n">
        <x:v>12</x:v>
      </x:c>
      <x:c r="G271" s="33" t="n">
        <x:v>12</x:v>
      </x:c>
      <x:c r="H271" s="34" t="str">
        <x:v>recurring</x:v>
      </x:c>
      <x:c r="I271" s="33" t="n">
        <x:v>12</x:v>
      </x:c>
      <x:c r="J271" s="35" t="str">
        <x:v>Published rate × assumed quantity</x:v>
      </x:c>
      <x:c r="K271" s="36" t="str">
        <x:v>UPTIME</x:v>
      </x:c>
      <x:c r="L271" s="37" t="n">
        <x:f>ROUND(E271*F271,2)</x:f>
        <x:v>144</x:v>
      </x:c>
      <x:c r="M271" s="37" t="n">
        <x:f>ROUND(E271*G271,2)</x:f>
        <x:v>144</x:v>
      </x:c>
      <x:c r="N271" s="37" t="n">
        <x:f>ROUND(E271*I271,2)</x:f>
        <x:v>144</x:v>
      </x:c>
      <x:c r="O271" s="18" t="str">
        <x:v>Assumed usage/quantity; vendor pricing only verified for specific named unit. Taxes, freight and overhead listed separately.</x:v>
      </x:c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48" customHeight="1">
      <x:c r="A272" s="1" t="str">
        <x:v>EXT-019</x:v>
      </x:c>
      <x:c r="B272" s="1" t="str">
        <x:v>Other business facets</x:v>
      </x:c>
      <x:c r="C272" s="18" t="str">
        <x:v>Error reporting subscription</x:v>
      </x:c>
      <x:c r="D272" s="18" t="str">
        <x:v>month</x:v>
      </x:c>
      <x:c r="E272" s="32" t="n">
        <x:v>12</x:v>
      </x:c>
      <x:c r="F272" s="33" t="n">
        <x:v>24</x:v>
      </x:c>
      <x:c r="G272" s="33" t="n">
        <x:v>30</x:v>
      </x:c>
      <x:c r="H272" s="34" t="str">
        <x:v>recurring</x:v>
      </x:c>
      <x:c r="I272" s="33" t="n">
        <x:v>37.5</x:v>
      </x:c>
      <x:c r="J272" s="35" t="str">
        <x:v>Planning allowance; written quote needed</x:v>
      </x:c>
      <x:c r="K272" s="36" t="str">
        <x:v>ALLOW</x:v>
      </x:c>
      <x:c r="L272" s="37" t="n">
        <x:f>ROUND(E272*F272,2)</x:f>
        <x:v>288</x:v>
      </x:c>
      <x:c r="M272" s="37" t="n">
        <x:f>ROUND(E272*G272,2)</x:f>
        <x:v>360</x:v>
      </x:c>
      <x:c r="N272" s="37" t="n">
        <x:f>ROUND(E272*I272,2)</x:f>
        <x:v>450</x:v>
      </x:c>
      <x:c r="O272" s="18" t="str">
        <x:v>Assumed usage/quantity; vendor pricing only verified for specific named unit. Taxes, freight and overhead listed separately. Low/high are -20%/+25% rate sensitivity, not observed market range.</x:v>
      </x:c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48" customHeight="1">
      <x:c r="A273" s="1" t="str">
        <x:v>EXT-020</x:v>
      </x:c>
      <x:c r="B273" s="1" t="str">
        <x:v>Other business facets</x:v>
      </x:c>
      <x:c r="C273" s="18" t="str">
        <x:v>Incident on-call coverage</x:v>
      </x:c>
      <x:c r="D273" s="18" t="str">
        <x:v>monthly retainer</x:v>
      </x:c>
      <x:c r="E273" s="32" t="n">
        <x:v>12</x:v>
      </x:c>
      <x:c r="F273" s="33" t="n">
        <x:v>800</x:v>
      </x:c>
      <x:c r="G273" s="33" t="n">
        <x:v>1000</x:v>
      </x:c>
      <x:c r="H273" s="34" t="str">
        <x:v>recurring</x:v>
      </x:c>
      <x:c r="I273" s="33" t="n">
        <x:v>1250</x:v>
      </x:c>
      <x:c r="J273" s="35" t="str">
        <x:v>Planning allowance; written quote needed</x:v>
      </x:c>
      <x:c r="K273" s="36" t="str">
        <x:v>ALLOW</x:v>
      </x:c>
      <x:c r="L273" s="37" t="n">
        <x:f>ROUND(E273*F273,2)</x:f>
        <x:v>9600</x:v>
      </x:c>
      <x:c r="M273" s="37" t="n">
        <x:f>ROUND(E273*G273,2)</x:f>
        <x:v>12000</x:v>
      </x:c>
      <x:c r="N273" s="37" t="n">
        <x:f>ROUND(E273*I273,2)</x:f>
        <x:v>15000</x:v>
      </x:c>
      <x:c r="O273" s="18" t="str">
        <x:v>Infrastructure-only retainer: OS/container patching, monitoring triage and deployment supervision. Excludes application fixes, ATS and separate recovery drills. Low/high are -20%/+25% rate sensitivity, not observed market range.</x:v>
      </x:c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48" customHeight="1">
      <x:c r="A274" s="1" t="str">
        <x:v>EXT-021</x:v>
      </x:c>
      <x:c r="B274" s="1" t="str">
        <x:v>Other business facets</x:v>
      </x:c>
      <x:c r="C274" s="18" t="str">
        <x:v>Dependency patching labor</x:v>
      </x:c>
      <x:c r="D274" s="18" t="str">
        <x:v>maintenance hour</x:v>
      </x:c>
      <x:c r="E274" s="32" t="n">
        <x:v>192</x:v>
      </x:c>
      <x:c r="F274" s="33" t="n">
        <x:v>140</x:v>
      </x:c>
      <x:c r="G274" s="33" t="n">
        <x:v>175</x:v>
      </x:c>
      <x:c r="H274" s="34" t="str">
        <x:v>recurring</x:v>
      </x:c>
      <x:c r="I274" s="33" t="n">
        <x:v>218.75</x:v>
      </x:c>
      <x:c r="J274" s="35" t="str">
        <x:v>Planning allowance; written quote needed</x:v>
      </x:c>
      <x:c r="K274" s="36" t="str">
        <x:v>ALLOW</x:v>
      </x:c>
      <x:c r="L274" s="37" t="n">
        <x:f>ROUND(E274*F274,2)</x:f>
        <x:v>26880</x:v>
      </x:c>
      <x:c r="M274" s="37" t="n">
        <x:f>ROUND(E274*G274,2)</x:f>
        <x:v>33600</x:v>
      </x:c>
      <x:c r="N274" s="37" t="n">
        <x:f>ROUND(E274*I274,2)</x:f>
        <x:v>42000</x:v>
      </x:c>
      <x:c r="O274" s="18" t="str">
        <x:v>Application maintenance excluding ATS-specific work and infrastructure retainer; 16h/month assumption. Low/high are -20%/+25% rate sensitivity, not observed market range.</x:v>
      </x:c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48" customHeight="1">
      <x:c r="A275" s="1" t="str">
        <x:v>EXT-022</x:v>
      </x:c>
      <x:c r="B275" s="1" t="str">
        <x:v>Other business facets</x:v>
      </x:c>
      <x:c r="C275" s="18" t="str">
        <x:v>Secret rotation labor</x:v>
      </x:c>
      <x:c r="D275" s="18" t="str">
        <x:v>rotation hour</x:v>
      </x:c>
      <x:c r="E275" s="32" t="n">
        <x:v>24</x:v>
      </x:c>
      <x:c r="F275" s="33" t="n">
        <x:v>140</x:v>
      </x:c>
      <x:c r="G275" s="33" t="n">
        <x:v>175</x:v>
      </x:c>
      <x:c r="H275" s="34" t="str">
        <x:v>recurring</x:v>
      </x:c>
      <x:c r="I275" s="33" t="n">
        <x:v>218.75</x:v>
      </x:c>
      <x:c r="J275" s="35" t="str">
        <x:v>Planning allowance; written quote needed</x:v>
      </x:c>
      <x:c r="K275" s="36" t="str">
        <x:v>ALLOW</x:v>
      </x:c>
      <x:c r="L275" s="37" t="n">
        <x:f>ROUND(E275*F275,2)</x:f>
        <x:v>3360</x:v>
      </x:c>
      <x:c r="M275" s="37" t="n">
        <x:f>ROUND(E275*G275,2)</x:f>
        <x:v>4200</x:v>
      </x:c>
      <x:c r="N275" s="37" t="n">
        <x:f>ROUND(E275*I275,2)</x:f>
        <x:v>5250</x:v>
      </x:c>
      <x:c r="O275" s="18" t="str">
        <x:v>Scheduled secrets/credential rotation only; not included in retainer assumption. Low/high are -20%/+25% rate sensitivity, not observed market range.</x:v>
      </x:c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48" customHeight="1">
      <x:c r="A276" s="1" t="str">
        <x:v>EXT-023</x:v>
      </x:c>
      <x:c r="B276" s="1" t="str">
        <x:v>Other business facets</x:v>
      </x:c>
      <x:c r="C276" s="18" t="str">
        <x:v>Manual penetration test</x:v>
      </x:c>
      <x:c r="D276" s="18" t="str">
        <x:v>manual pentest engagement</x:v>
      </x:c>
      <x:c r="E276" s="32" t="n">
        <x:v>1</x:v>
      </x:c>
      <x:c r="F276" s="33" t="n">
        <x:v>16000</x:v>
      </x:c>
      <x:c r="G276" s="33" t="n">
        <x:v>20000</x:v>
      </x:c>
      <x:c r="H276" s="34" t="str">
        <x:v>one_time</x:v>
      </x:c>
      <x:c r="I276" s="33" t="n">
        <x:v>25000</x:v>
      </x:c>
      <x:c r="J276" s="35" t="str">
        <x:v>Planning allowance; written quote needed</x:v>
      </x:c>
      <x:c r="K276" s="36" t="str">
        <x:v>ALLOW</x:v>
      </x:c>
      <x:c r="L276" s="37" t="n">
        <x:f>ROUND(E276*F276,2)</x:f>
        <x:v>16000</x:v>
      </x:c>
      <x:c r="M276" s="37" t="n">
        <x:f>ROUND(E276*G276,2)</x:f>
        <x:v>20000</x:v>
      </x:c>
      <x:c r="N276" s="37" t="n">
        <x:f>ROUND(E276*I276,2)</x:f>
        <x:v>25000</x:v>
      </x:c>
      <x:c r="O276" s="18" t="str">
        <x:v>Assumed usage/quantity; vendor pricing only verified for specific named unit. Taxes, freight and overhead listed separately. Low/high are -20%/+25% rate sensitivity, not observed market range.</x:v>
      </x:c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48" customHeight="1">
      <x:c r="A277" s="1" t="str">
        <x:v>EXT-024</x:v>
      </x:c>
      <x:c r="B277" s="1" t="str">
        <x:v>Other business facets</x:v>
      </x:c>
      <x:c r="C277" s="18" t="str">
        <x:v>Independent penetration-test retest</x:v>
      </x:c>
      <x:c r="D277" s="18" t="str">
        <x:v>retest engagement</x:v>
      </x:c>
      <x:c r="E277" s="32" t="n">
        <x:v>1</x:v>
      </x:c>
      <x:c r="F277" s="33" t="n">
        <x:v>4000</x:v>
      </x:c>
      <x:c r="G277" s="33" t="n">
        <x:v>5000</x:v>
      </x:c>
      <x:c r="H277" s="34" t="str">
        <x:v>one_time</x:v>
      </x:c>
      <x:c r="I277" s="33" t="n">
        <x:v>6250</x:v>
      </x:c>
      <x:c r="J277" s="35" t="str">
        <x:v>Planning allowance; written quote needed</x:v>
      </x:c>
      <x:c r="K277" s="36" t="str">
        <x:v>ALLOW</x:v>
      </x:c>
      <x:c r="L277" s="37" t="n">
        <x:f>ROUND(E277*F277,2)</x:f>
        <x:v>4000</x:v>
      </x:c>
      <x:c r="M277" s="37" t="n">
        <x:f>ROUND(E277*G277,2)</x:f>
        <x:v>5000</x:v>
      </x:c>
      <x:c r="N277" s="37" t="n">
        <x:f>ROUND(E277*I277,2)</x:f>
        <x:v>6250</x:v>
      </x:c>
      <x:c r="O277" s="18" t="str">
        <x:v>Assumed usage/quantity; vendor pricing only verified for specific named unit. Taxes, freight and overhead listed separately. Low/high are -20%/+25% rate sensitivity, not observed market range.</x:v>
      </x:c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48" customHeight="1">
      <x:c r="A278" s="1" t="str">
        <x:v>EXT-026</x:v>
      </x:c>
      <x:c r="B278" s="1" t="str">
        <x:v>Other business facets</x:v>
      </x:c>
      <x:c r="C278" s="18" t="str">
        <x:v>Accessibility audit</x:v>
      </x:c>
      <x:c r="D278" s="18" t="str">
        <x:v>independent audit hour</x:v>
      </x:c>
      <x:c r="E278" s="32" t="n">
        <x:v>24</x:v>
      </x:c>
      <x:c r="F278" s="33" t="n">
        <x:v>120</x:v>
      </x:c>
      <x:c r="G278" s="33" t="n">
        <x:v>150</x:v>
      </x:c>
      <x:c r="H278" s="34" t="str">
        <x:v>one_time</x:v>
      </x:c>
      <x:c r="I278" s="33" t="n">
        <x:v>187.5</x:v>
      </x:c>
      <x:c r="J278" s="35" t="str">
        <x:v>Planning allowance; written quote needed</x:v>
      </x:c>
      <x:c r="K278" s="36" t="str">
        <x:v>ALLOW</x:v>
      </x:c>
      <x:c r="L278" s="37" t="n">
        <x:f>ROUND(E278*F278,2)</x:f>
        <x:v>2880</x:v>
      </x:c>
      <x:c r="M278" s="37" t="n">
        <x:f>ROUND(E278*G278,2)</x:f>
        <x:v>3600</x:v>
      </x:c>
      <x:c r="N278" s="37" t="n">
        <x:f>ROUND(E278*I278,2)</x:f>
        <x:v>4500</x:v>
      </x:c>
      <x:c r="O278" s="18" t="str">
        <x:v>Assumed usage/quantity; vendor pricing only verified for specific named unit. Taxes, freight and overhead listed separately. Low/high are -20%/+25% rate sensitivity, not observed market range.</x:v>
      </x:c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48" customHeight="1">
      <x:c r="A279" s="1" t="str">
        <x:v>EXT-031</x:v>
      </x:c>
      <x:c r="B279" s="1" t="str">
        <x:v>Other business facets</x:v>
      </x:c>
      <x:c r="C279" s="18" t="str">
        <x:v>Transactional email subscription</x:v>
      </x:c>
      <x:c r="D279" s="18" t="str">
        <x:v>month</x:v>
      </x:c>
      <x:c r="E279" s="32" t="n">
        <x:v>12</x:v>
      </x:c>
      <x:c r="F279" s="33" t="n">
        <x:v>20</x:v>
      </x:c>
      <x:c r="G279" s="33" t="n">
        <x:v>20</x:v>
      </x:c>
      <x:c r="H279" s="34" t="str">
        <x:v>recurring</x:v>
      </x:c>
      <x:c r="I279" s="33" t="n">
        <x:v>20</x:v>
      </x:c>
      <x:c r="J279" s="35" t="str">
        <x:v>Published rate × assumed quantity</x:v>
      </x:c>
      <x:c r="K279" s="36" t="str">
        <x:v>RESEND</x:v>
      </x:c>
      <x:c r="L279" s="37" t="n">
        <x:f>ROUND(E279*F279,2)</x:f>
        <x:v>240</x:v>
      </x:c>
      <x:c r="M279" s="37" t="n">
        <x:f>ROUND(E279*G279,2)</x:f>
        <x:v>240</x:v>
      </x:c>
      <x:c r="N279" s="37" t="n">
        <x:f>ROUND(E279*I279,2)</x:f>
        <x:v>240</x:v>
      </x:c>
      <x:c r="O279" s="18" t="str">
        <x:v>Assumed usage/quantity; vendor pricing only verified for specific named unit. Taxes, freight and overhead listed separately.</x:v>
      </x:c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48" customHeight="1">
      <x:c r="A280" s="1" t="str">
        <x:v>EXT-033</x:v>
      </x:c>
      <x:c r="B280" s="1" t="str">
        <x:v>Other business facets</x:v>
      </x:c>
      <x:c r="C280" s="18" t="str">
        <x:v>SMS phone-number rental</x:v>
      </x:c>
      <x:c r="D280" s="18" t="str">
        <x:v>number-month</x:v>
      </x:c>
      <x:c r="E280" s="32" t="n">
        <x:v>12</x:v>
      </x:c>
      <x:c r="F280" s="33" t="n">
        <x:v>1.15</x:v>
      </x:c>
      <x:c r="G280" s="33" t="n">
        <x:v>1.15</x:v>
      </x:c>
      <x:c r="H280" s="34" t="str">
        <x:v>recurring</x:v>
      </x:c>
      <x:c r="I280" s="33" t="n">
        <x:v>1.15</x:v>
      </x:c>
      <x:c r="J280" s="35" t="str">
        <x:v>Published rate × assumed quantity</x:v>
      </x:c>
      <x:c r="K280" s="36" t="str">
        <x:v>SMS</x:v>
      </x:c>
      <x:c r="L280" s="37" t="n">
        <x:f>ROUND(E280*F280,2)</x:f>
        <x:v>13.8</x:v>
      </x:c>
      <x:c r="M280" s="37" t="n">
        <x:f>ROUND(E280*G280,2)</x:f>
        <x:v>13.8</x:v>
      </x:c>
      <x:c r="N280" s="37" t="n">
        <x:f>ROUND(E280*I280,2)</x:f>
        <x:v>13.8</x:v>
      </x:c>
      <x:c r="O280" s="18" t="str">
        <x:v>Assumed usage/quantity; vendor pricing only verified for specific named unit. Taxes, freight and overhead listed separately.</x:v>
      </x:c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48" customHeight="1">
      <x:c r="A281" s="1" t="str">
        <x:v>EXT-034</x:v>
      </x:c>
      <x:c r="B281" s="1" t="str">
        <x:v>Other business facets</x:v>
      </x:c>
      <x:c r="C281" s="18" t="str">
        <x:v>SMS outbound segments</x:v>
      </x:c>
      <x:c r="D281" s="18" t="str">
        <x:v>SMS segment</x:v>
      </x:c>
      <x:c r="E281" s="32" t="n">
        <x:v>24000</x:v>
      </x:c>
      <x:c r="F281" s="33" t="n">
        <x:v>0.0083</x:v>
      </x:c>
      <x:c r="G281" s="33" t="n">
        <x:v>0.0083</x:v>
      </x:c>
      <x:c r="H281" s="34" t="str">
        <x:v>recurring</x:v>
      </x:c>
      <x:c r="I281" s="33" t="n">
        <x:v>0.0083</x:v>
      </x:c>
      <x:c r="J281" s="35" t="str">
        <x:v>Published rate × assumed quantity</x:v>
      </x:c>
      <x:c r="K281" s="36" t="str">
        <x:v>SMS</x:v>
      </x:c>
      <x:c r="L281" s="37" t="n">
        <x:f>ROUND(E281*F281,2)</x:f>
        <x:v>199.2</x:v>
      </x:c>
      <x:c r="M281" s="37" t="n">
        <x:f>ROUND(E281*G281,2)</x:f>
        <x:v>199.2</x:v>
      </x:c>
      <x:c r="N281" s="37" t="n">
        <x:f>ROUND(E281*I281,2)</x:f>
        <x:v>199.2</x:v>
      </x:c>
      <x:c r="O281" s="18" t="str">
        <x:v>Assumed usage/quantity; vendor pricing only verified for specific named unit. Taxes, freight and overhead listed separately.</x:v>
      </x:c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48" customHeight="1">
      <x:c r="A282" s="1" t="str">
        <x:v>EXT-035</x:v>
      </x:c>
      <x:c r="B282" s="1" t="str">
        <x:v>Other business facets</x:v>
      </x:c>
      <x:c r="C282" s="18" t="str">
        <x:v>SMS inbound segments</x:v>
      </x:c>
      <x:c r="D282" s="18" t="str">
        <x:v>SMS segment</x:v>
      </x:c>
      <x:c r="E282" s="32" t="n">
        <x:v>6000</x:v>
      </x:c>
      <x:c r="F282" s="33" t="n">
        <x:v>0.0083</x:v>
      </x:c>
      <x:c r="G282" s="33" t="n">
        <x:v>0.0083</x:v>
      </x:c>
      <x:c r="H282" s="34" t="str">
        <x:v>recurring</x:v>
      </x:c>
      <x:c r="I282" s="33" t="n">
        <x:v>0.0083</x:v>
      </x:c>
      <x:c r="J282" s="35" t="str">
        <x:v>Published rate × assumed quantity</x:v>
      </x:c>
      <x:c r="K282" s="36" t="str">
        <x:v>SMS</x:v>
      </x:c>
      <x:c r="L282" s="37" t="n">
        <x:f>ROUND(E282*F282,2)</x:f>
        <x:v>49.8</x:v>
      </x:c>
      <x:c r="M282" s="37" t="n">
        <x:f>ROUND(E282*G282,2)</x:f>
        <x:v>49.8</x:v>
      </x:c>
      <x:c r="N282" s="37" t="n">
        <x:f>ROUND(E282*I282,2)</x:f>
        <x:v>49.8</x:v>
      </x:c>
      <x:c r="O282" s="18" t="str">
        <x:v>Assumed usage/quantity; vendor pricing only verified for specific named unit. Taxes, freight and overhead listed separately.</x:v>
      </x:c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48" customHeight="1">
      <x:c r="A283" s="1" t="str">
        <x:v>EXT-036</x:v>
      </x:c>
      <x:c r="B283" s="1" t="str">
        <x:v>Other business facets</x:v>
      </x:c>
      <x:c r="C283" s="18" t="str">
        <x:v>SMS carrier surcharges</x:v>
      </x:c>
      <x:c r="D283" s="18" t="str">
        <x:v>carrier-fee segment</x:v>
      </x:c>
      <x:c r="E283" s="32" t="n">
        <x:v>30000</x:v>
      </x:c>
      <x:c r="F283" s="33" t="n">
        <x:v>0.0032</x:v>
      </x:c>
      <x:c r="G283" s="33" t="n">
        <x:v>0.004</x:v>
      </x:c>
      <x:c r="H283" s="34" t="str">
        <x:v>recurring</x:v>
      </x:c>
      <x:c r="I283" s="33" t="n">
        <x:v>0.005</x:v>
      </x:c>
      <x:c r="J283" s="35" t="str">
        <x:v>Planning allowance; written quote needed</x:v>
      </x:c>
      <x:c r="K283" s="36" t="str">
        <x:v>ALLOW</x:v>
      </x:c>
      <x:c r="L283" s="37" t="n">
        <x:f>ROUND(E283*F283,2)</x:f>
        <x:v>96</x:v>
      </x:c>
      <x:c r="M283" s="37" t="n">
        <x:f>ROUND(E283*G283,2)</x:f>
        <x:v>120</x:v>
      </x:c>
      <x:c r="N283" s="37" t="n">
        <x:f>ROUND(E283*I283,2)</x:f>
        <x:v>150</x:v>
      </x:c>
      <x:c r="O283" s="18" t="str">
        <x:v>Assumed usage/quantity; vendor pricing only verified for specific named unit. Taxes, freight and overhead listed separately. Low/high are -20%/+25% rate sensitivity, not observed market range.</x:v>
      </x:c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48" customHeight="1">
      <x:c r="A284" s="1" t="str">
        <x:v>EXT-037</x:v>
      </x:c>
      <x:c r="B284" s="1" t="str">
        <x:v>Other business facets</x:v>
      </x:c>
      <x:c r="C284" s="18" t="str">
        <x:v>A2P brand registration</x:v>
      </x:c>
      <x:c r="D284" s="18" t="str">
        <x:v>brand fee</x:v>
      </x:c>
      <x:c r="E284" s="32" t="n">
        <x:v>1</x:v>
      </x:c>
      <x:c r="F284" s="33" t="n">
        <x:v>40</x:v>
      </x:c>
      <x:c r="G284" s="33" t="n">
        <x:v>50</x:v>
      </x:c>
      <x:c r="H284" s="34" t="str">
        <x:v>one_time</x:v>
      </x:c>
      <x:c r="I284" s="33" t="n">
        <x:v>62.5</x:v>
      </x:c>
      <x:c r="J284" s="35" t="str">
        <x:v>Planning allowance; written quote needed</x:v>
      </x:c>
      <x:c r="K284" s="36" t="str">
        <x:v>ALLOW</x:v>
      </x:c>
      <x:c r="L284" s="37" t="n">
        <x:f>ROUND(E284*F284,2)</x:f>
        <x:v>40</x:v>
      </x:c>
      <x:c r="M284" s="37" t="n">
        <x:f>ROUND(E284*G284,2)</x:f>
        <x:v>50</x:v>
      </x:c>
      <x:c r="N284" s="37" t="n">
        <x:f>ROUND(E284*I284,2)</x:f>
        <x:v>62.5</x:v>
      </x:c>
      <x:c r="O284" s="18" t="str">
        <x:v>Assumed usage/quantity; vendor pricing only verified for specific named unit. Taxes, freight and overhead listed separately. Low/high are -20%/+25% rate sensitivity, not observed market range.</x:v>
      </x:c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48" customHeight="1">
      <x:c r="A285" s="1" t="str">
        <x:v>EXT-038</x:v>
      </x:c>
      <x:c r="B285" s="1" t="str">
        <x:v>Other business facets</x:v>
      </x:c>
      <x:c r="C285" s="18" t="str">
        <x:v>A2P campaign registration and renewal</x:v>
      </x:c>
      <x:c r="D285" s="18" t="str">
        <x:v>campaign-month</x:v>
      </x:c>
      <x:c r="E285" s="32" t="n">
        <x:v>12</x:v>
      </x:c>
      <x:c r="F285" s="33" t="n">
        <x:v>8</x:v>
      </x:c>
      <x:c r="G285" s="33" t="n">
        <x:v>10</x:v>
      </x:c>
      <x:c r="H285" s="34" t="str">
        <x:v>recurring</x:v>
      </x:c>
      <x:c r="I285" s="33" t="n">
        <x:v>12.5</x:v>
      </x:c>
      <x:c r="J285" s="35" t="str">
        <x:v>Planning allowance; written quote needed</x:v>
      </x:c>
      <x:c r="K285" s="36" t="str">
        <x:v>ALLOW</x:v>
      </x:c>
      <x:c r="L285" s="37" t="n">
        <x:f>ROUND(E285*F285,2)</x:f>
        <x:v>96</x:v>
      </x:c>
      <x:c r="M285" s="37" t="n">
        <x:f>ROUND(E285*G285,2)</x:f>
        <x:v>120</x:v>
      </x:c>
      <x:c r="N285" s="37" t="n">
        <x:f>ROUND(E285*I285,2)</x:f>
        <x:v>150</x:v>
      </x:c>
      <x:c r="O285" s="18" t="str">
        <x:v>Assumed usage/quantity; vendor pricing only verified for specific named unit. Taxes, freight and overhead listed separately. Low/high are -20%/+25% rate sensitivity, not observed market range.</x:v>
      </x:c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48" customHeight="1">
      <x:c r="A286" s="1" t="str">
        <x:v>EXT-040</x:v>
      </x:c>
      <x:c r="B286" s="1" t="str">
        <x:v>Other business facets</x:v>
      </x:c>
      <x:c r="C286" s="18" t="str">
        <x:v>Card percentage processing fee</x:v>
      </x:c>
      <x:c r="D286" s="18" t="str">
        <x:v>processed dollar</x:v>
      </x:c>
      <x:c r="E286" s="32" t="n">
        <x:v>400000</x:v>
      </x:c>
      <x:c r="F286" s="33" t="n">
        <x:v>0.029</x:v>
      </x:c>
      <x:c r="G286" s="33" t="n">
        <x:v>0.029</x:v>
      </x:c>
      <x:c r="H286" s="34" t="str">
        <x:v>recurring</x:v>
      </x:c>
      <x:c r="I286" s="33" t="n">
        <x:v>0.029</x:v>
      </x:c>
      <x:c r="J286" s="35" t="str">
        <x:v>Published rate × assumed quantity</x:v>
      </x:c>
      <x:c r="K286" s="36" t="str">
        <x:v>STRIPE</x:v>
      </x:c>
      <x:c r="L286" s="37" t="n">
        <x:f>ROUND(E286*F286,2)</x:f>
        <x:v>11600</x:v>
      </x:c>
      <x:c r="M286" s="37" t="n">
        <x:f>ROUND(E286*G286,2)</x:f>
        <x:v>11600</x:v>
      </x:c>
      <x:c r="N286" s="37" t="n">
        <x:f>ROUND(E286*I286,2)</x:f>
        <x:v>11600</x:v>
      </x:c>
      <x:c r="O286" s="18" t="str">
        <x:v>Assumed usage/quantity; vendor pricing only verified for specific named unit. Taxes, freight and overhead listed separately.</x:v>
      </x:c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48" customHeight="1">
      <x:c r="A287" s="1" t="str">
        <x:v>EXT-041</x:v>
      </x:c>
      <x:c r="B287" s="1" t="str">
        <x:v>Other business facets</x:v>
      </x:c>
      <x:c r="C287" s="18" t="str">
        <x:v>Card fixed transaction fee</x:v>
      </x:c>
      <x:c r="D287" s="18" t="str">
        <x:v>transaction</x:v>
      </x:c>
      <x:c r="E287" s="32" t="n">
        <x:v>2000</x:v>
      </x:c>
      <x:c r="F287" s="33" t="n">
        <x:v>0.3</x:v>
      </x:c>
      <x:c r="G287" s="33" t="n">
        <x:v>0.3</x:v>
      </x:c>
      <x:c r="H287" s="34" t="str">
        <x:v>recurring</x:v>
      </x:c>
      <x:c r="I287" s="33" t="n">
        <x:v>0.3</x:v>
      </x:c>
      <x:c r="J287" s="35" t="str">
        <x:v>Published rate × assumed quantity</x:v>
      </x:c>
      <x:c r="K287" s="36" t="str">
        <x:v>STRIPE</x:v>
      </x:c>
      <x:c r="L287" s="37" t="n">
        <x:f>ROUND(E287*F287,2)</x:f>
        <x:v>600</x:v>
      </x:c>
      <x:c r="M287" s="37" t="n">
        <x:f>ROUND(E287*G287,2)</x:f>
        <x:v>600</x:v>
      </x:c>
      <x:c r="N287" s="37" t="n">
        <x:f>ROUND(E287*I287,2)</x:f>
        <x:v>600</x:v>
      </x:c>
      <x:c r="O287" s="18" t="str">
        <x:v>Assumed usage/quantity; vendor pricing only verified for specific named unit. Taxes, freight and overhead listed separately.</x:v>
      </x:c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48" customHeight="1">
      <x:c r="A288" s="1" t="str">
        <x:v>EXT-042</x:v>
      </x:c>
      <x:c r="B288" s="1" t="str">
        <x:v>Other business facets</x:v>
      </x:c>
      <x:c r="C288" s="18" t="str">
        <x:v>Subscription billing fee</x:v>
      </x:c>
      <x:c r="D288" s="18" t="str">
        <x:v>subscription dollar</x:v>
      </x:c>
      <x:c r="E288" s="32" t="n">
        <x:v>100000</x:v>
      </x:c>
      <x:c r="F288" s="33" t="n">
        <x:v>0.007</x:v>
      </x:c>
      <x:c r="G288" s="33" t="n">
        <x:v>0.007</x:v>
      </x:c>
      <x:c r="H288" s="34" t="str">
        <x:v>recurring</x:v>
      </x:c>
      <x:c r="I288" s="33" t="n">
        <x:v>0.007</x:v>
      </x:c>
      <x:c r="J288" s="35" t="str">
        <x:v>Published rate × assumed quantity</x:v>
      </x:c>
      <x:c r="K288" s="36" t="str">
        <x:v>STRIPE</x:v>
      </x:c>
      <x:c r="L288" s="37" t="n">
        <x:f>ROUND(E288*F288,2)</x:f>
        <x:v>700</x:v>
      </x:c>
      <x:c r="M288" s="37" t="n">
        <x:f>ROUND(E288*G288,2)</x:f>
        <x:v>700</x:v>
      </x:c>
      <x:c r="N288" s="37" t="n">
        <x:f>ROUND(E288*I288,2)</x:f>
        <x:v>700</x:v>
      </x:c>
      <x:c r="O288" s="18" t="str">
        <x:v>Assumed usage/quantity; vendor pricing only verified for specific named unit. Taxes, freight and overhead listed separately.</x:v>
      </x:c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48" customHeight="1">
      <x:c r="A289" s="1" t="str">
        <x:v>EXT-043</x:v>
      </x:c>
      <x:c r="B289" s="1" t="str">
        <x:v>Other business facets</x:v>
      </x:c>
      <x:c r="C289" s="18" t="str">
        <x:v>Dispute and chargeback fee</x:v>
      </x:c>
      <x:c r="D289" s="18" t="str">
        <x:v>dispute</x:v>
      </x:c>
      <x:c r="E289" s="32" t="n">
        <x:v>6</x:v>
      </x:c>
      <x:c r="F289" s="33" t="n">
        <x:v>12</x:v>
      </x:c>
      <x:c r="G289" s="33" t="n">
        <x:v>15</x:v>
      </x:c>
      <x:c r="H289" s="34" t="str">
        <x:v>recurring</x:v>
      </x:c>
      <x:c r="I289" s="33" t="n">
        <x:v>18.75</x:v>
      </x:c>
      <x:c r="J289" s="35" t="str">
        <x:v>Planning allowance; written quote needed</x:v>
      </x:c>
      <x:c r="K289" s="36" t="str">
        <x:v>ALLOW</x:v>
      </x:c>
      <x:c r="L289" s="37" t="n">
        <x:f>ROUND(E289*F289,2)</x:f>
        <x:v>72</x:v>
      </x:c>
      <x:c r="M289" s="37" t="n">
        <x:f>ROUND(E289*G289,2)</x:f>
        <x:v>90</x:v>
      </x:c>
      <x:c r="N289" s="37" t="n">
        <x:f>ROUND(E289*I289,2)</x:f>
        <x:v>112.5</x:v>
      </x:c>
      <x:c r="O289" s="18" t="str">
        <x:v>Assumed usage/quantity; vendor pricing only verified for specific named unit. Taxes, freight and overhead listed separately. Low/high are -20%/+25% rate sensitivity, not observed market range.</x:v>
      </x:c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48" customHeight="1">
      <x:c r="A290" s="1" t="str">
        <x:v>EXT-046</x:v>
      </x:c>
      <x:c r="B290" s="1" t="str">
        <x:v>Other business facets</x:v>
      </x:c>
      <x:c r="C290" s="18" t="str">
        <x:v>Tax calculation service</x:v>
      </x:c>
      <x:c r="D290" s="18" t="str">
        <x:v>tax calculation</x:v>
      </x:c>
      <x:c r="E290" s="32" t="n">
        <x:v>1000</x:v>
      </x:c>
      <x:c r="F290" s="33" t="n">
        <x:v>0.4</x:v>
      </x:c>
      <x:c r="G290" s="33" t="n">
        <x:v>0.5</x:v>
      </x:c>
      <x:c r="H290" s="34" t="str">
        <x:v>recurring</x:v>
      </x:c>
      <x:c r="I290" s="33" t="n">
        <x:v>0.625</x:v>
      </x:c>
      <x:c r="J290" s="35" t="str">
        <x:v>Planning allowance; written quote needed</x:v>
      </x:c>
      <x:c r="K290" s="36" t="str">
        <x:v>ALLOW</x:v>
      </x:c>
      <x:c r="L290" s="37" t="n">
        <x:f>ROUND(E290*F290,2)</x:f>
        <x:v>400</x:v>
      </x:c>
      <x:c r="M290" s="37" t="n">
        <x:f>ROUND(E290*G290,2)</x:f>
        <x:v>500</x:v>
      </x:c>
      <x:c r="N290" s="37" t="n">
        <x:f>ROUND(E290*I290,2)</x:f>
        <x:v>625</x:v>
      </x:c>
      <x:c r="O290" s="18" t="str">
        <x:v>Assumed usage/quantity; vendor pricing only verified for specific named unit. Taxes, freight and overhead listed separately. Low/high are -20%/+25% rate sensitivity, not observed market range.</x:v>
      </x:c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48" customHeight="1">
      <x:c r="A291" s="1" t="str">
        <x:v>EXT-047</x:v>
      </x:c>
      <x:c r="B291" s="1" t="str">
        <x:v>Other business facets</x:v>
      </x:c>
      <x:c r="C291" s="18" t="str">
        <x:v>CRM extension license renewal</x:v>
      </x:c>
      <x:c r="D291" s="18" t="str">
        <x:v>annual extension license</x:v>
      </x:c>
      <x:c r="E291" s="32" t="n">
        <x:v>1</x:v>
      </x:c>
      <x:c r="F291" s="33" t="n">
        <x:v>400</x:v>
      </x:c>
      <x:c r="G291" s="33" t="n">
        <x:v>500</x:v>
      </x:c>
      <x:c r="H291" s="34" t="str">
        <x:v>recurring</x:v>
      </x:c>
      <x:c r="I291" s="33" t="n">
        <x:v>625</x:v>
      </x:c>
      <x:c r="J291" s="35" t="str">
        <x:v>Planning allowance; written quote needed</x:v>
      </x:c>
      <x:c r="K291" s="36" t="str">
        <x:v>ALLOW</x:v>
      </x:c>
      <x:c r="L291" s="37" t="n">
        <x:f>ROUND(E291*F291,2)</x:f>
        <x:v>400</x:v>
      </x:c>
      <x:c r="M291" s="37" t="n">
        <x:f>ROUND(E291*G291,2)</x:f>
        <x:v>500</x:v>
      </x:c>
      <x:c r="N291" s="37" t="n">
        <x:f>ROUND(E291*I291,2)</x:f>
        <x:v>625</x:v>
      </x:c>
      <x:c r="O291" s="18" t="str">
        <x:v>Assumed usage/quantity; vendor pricing only verified for specific named unit. Taxes, freight and overhead listed separately. Low/high are -20%/+25% rate sensitivity, not observed market range.</x:v>
      </x:c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48" customHeight="1">
      <x:c r="A292" s="1" t="str">
        <x:v>EXT-048</x:v>
      </x:c>
      <x:c r="B292" s="1" t="str">
        <x:v>Other business facets</x:v>
      </x:c>
      <x:c r="C292" s="18" t="str">
        <x:v>ATS maintenance and hiring-workflow changes</x:v>
      </x:c>
      <x:c r="D292" s="18" t="str">
        <x:v>ATS maintenance hour</x:v>
      </x:c>
      <x:c r="E292" s="32" t="n">
        <x:v>48</x:v>
      </x:c>
      <x:c r="F292" s="33" t="n">
        <x:v>140</x:v>
      </x:c>
      <x:c r="G292" s="33" t="n">
        <x:v>175</x:v>
      </x:c>
      <x:c r="H292" s="34" t="str">
        <x:v>recurring</x:v>
      </x:c>
      <x:c r="I292" s="33" t="n">
        <x:v>218.75</x:v>
      </x:c>
      <x:c r="J292" s="35" t="str">
        <x:v>Planning allowance; written quote needed</x:v>
      </x:c>
      <x:c r="K292" s="36" t="str">
        <x:v>ALLOW</x:v>
      </x:c>
      <x:c r="L292" s="37" t="n">
        <x:f>ROUND(E292*F292,2)</x:f>
        <x:v>6720</x:v>
      </x:c>
      <x:c r="M292" s="37" t="n">
        <x:f>ROUND(E292*G292,2)</x:f>
        <x:v>8400</x:v>
      </x:c>
      <x:c r="N292" s="37" t="n">
        <x:f>ROUND(E292*I292,2)</x:f>
        <x:v>10500</x:v>
      </x:c>
      <x:c r="O292" s="18" t="str">
        <x:v>ATS-specific connector and workflow maintenance; excluded from general application maintenance allowance. Low/high are -20%/+25% rate sensitivity, not observed market range.</x:v>
      </x:c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48" customHeight="1">
      <x:c r="A293" s="1" t="str">
        <x:v>EXT-051</x:v>
      </x:c>
      <x:c r="B293" s="1" t="str">
        <x:v>Other business facets</x:v>
      </x:c>
      <x:c r="C293" s="18" t="str">
        <x:v>Booker plush prototype</x:v>
      </x:c>
      <x:c r="D293" s="18" t="str">
        <x:v>prototype</x:v>
      </x:c>
      <x:c r="E293" s="32" t="n">
        <x:v>1</x:v>
      </x:c>
      <x:c r="F293" s="33" t="n">
        <x:v>400</x:v>
      </x:c>
      <x:c r="G293" s="33" t="n">
        <x:v>500</x:v>
      </x:c>
      <x:c r="H293" s="34" t="str">
        <x:v>one_time</x:v>
      </x:c>
      <x:c r="I293" s="33" t="n">
        <x:v>625</x:v>
      </x:c>
      <x:c r="J293" s="35" t="str">
        <x:v>Planning allowance; written quote needed</x:v>
      </x:c>
      <x:c r="K293" s="36" t="str">
        <x:v>ALLOW</x:v>
      </x:c>
      <x:c r="L293" s="37" t="n">
        <x:f>ROUND(E293*F293,2)</x:f>
        <x:v>400</x:v>
      </x:c>
      <x:c r="M293" s="37" t="n">
        <x:f>ROUND(E293*G293,2)</x:f>
        <x:v>500</x:v>
      </x:c>
      <x:c r="N293" s="37" t="n">
        <x:f>ROUND(E293*I293,2)</x:f>
        <x:v>625</x:v>
      </x:c>
      <x:c r="O293" s="18" t="str">
        <x:v>Assumed usage/quantity; vendor pricing only verified for specific named unit. Taxes, freight and overhead listed separately. Low/high are -20%/+25% rate sensitivity, not observed market range.</x:v>
      </x:c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48" customHeight="1">
      <x:c r="A294" s="1" t="str">
        <x:v>EXT-052</x:v>
      </x:c>
      <x:c r="B294" s="1" t="str">
        <x:v>Other business facets</x:v>
      </x:c>
      <x:c r="C294" s="18" t="str">
        <x:v>Lumi plush prototype</x:v>
      </x:c>
      <x:c r="D294" s="18" t="str">
        <x:v>prototype</x:v>
      </x:c>
      <x:c r="E294" s="32" t="n">
        <x:v>1</x:v>
      </x:c>
      <x:c r="F294" s="33" t="n">
        <x:v>400</x:v>
      </x:c>
      <x:c r="G294" s="33" t="n">
        <x:v>500</x:v>
      </x:c>
      <x:c r="H294" s="34" t="str">
        <x:v>one_time</x:v>
      </x:c>
      <x:c r="I294" s="33" t="n">
        <x:v>625</x:v>
      </x:c>
      <x:c r="J294" s="35" t="str">
        <x:v>Planning allowance; written quote needed</x:v>
      </x:c>
      <x:c r="K294" s="36" t="str">
        <x:v>ALLOW</x:v>
      </x:c>
      <x:c r="L294" s="37" t="n">
        <x:f>ROUND(E294*F294,2)</x:f>
        <x:v>400</x:v>
      </x:c>
      <x:c r="M294" s="37" t="n">
        <x:f>ROUND(E294*G294,2)</x:f>
        <x:v>500</x:v>
      </x:c>
      <x:c r="N294" s="37" t="n">
        <x:f>ROUND(E294*I294,2)</x:f>
        <x:v>625</x:v>
      </x:c>
      <x:c r="O294" s="18" t="str">
        <x:v>Assumed usage/quantity; vendor pricing only verified for specific named unit. Taxes, freight and overhead listed separately. Low/high are -20%/+25% rate sensitivity, not observed market range.</x:v>
      </x:c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48" customHeight="1">
      <x:c r="A295" s="1" t="str">
        <x:v>EXT-053</x:v>
      </x:c>
      <x:c r="B295" s="1" t="str">
        <x:v>Other business facets</x:v>
      </x:c>
      <x:c r="C295" s="18" t="str">
        <x:v>Zuri plush prototype</x:v>
      </x:c>
      <x:c r="D295" s="18" t="str">
        <x:v>prototype</x:v>
      </x:c>
      <x:c r="E295" s="32" t="n">
        <x:v>1</x:v>
      </x:c>
      <x:c r="F295" s="33" t="n">
        <x:v>400</x:v>
      </x:c>
      <x:c r="G295" s="33" t="n">
        <x:v>500</x:v>
      </x:c>
      <x:c r="H295" s="34" t="str">
        <x:v>one_time</x:v>
      </x:c>
      <x:c r="I295" s="33" t="n">
        <x:v>625</x:v>
      </x:c>
      <x:c r="J295" s="35" t="str">
        <x:v>Planning allowance; written quote needed</x:v>
      </x:c>
      <x:c r="K295" s="36" t="str">
        <x:v>ALLOW</x:v>
      </x:c>
      <x:c r="L295" s="37" t="n">
        <x:f>ROUND(E295*F295,2)</x:f>
        <x:v>400</x:v>
      </x:c>
      <x:c r="M295" s="37" t="n">
        <x:f>ROUND(E295*G295,2)</x:f>
        <x:v>500</x:v>
      </x:c>
      <x:c r="N295" s="37" t="n">
        <x:f>ROUND(E295*I295,2)</x:f>
        <x:v>625</x:v>
      </x:c>
      <x:c r="O295" s="18" t="str">
        <x:v>Assumed usage/quantity; vendor pricing only verified for specific named unit. Taxes, freight and overhead listed separately. Low/high are -20%/+25% rate sensitivity, not observed market range.</x:v>
      </x:c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48" customHeight="1">
      <x:c r="A296" s="1" t="str">
        <x:v>EXT-054</x:v>
      </x:c>
      <x:c r="B296" s="1" t="str">
        <x:v>Other business facets</x:v>
      </x:c>
      <x:c r="C296" s="18" t="str">
        <x:v>Bop plush prototype</x:v>
      </x:c>
      <x:c r="D296" s="18" t="str">
        <x:v>prototype</x:v>
      </x:c>
      <x:c r="E296" s="32" t="n">
        <x:v>1</x:v>
      </x:c>
      <x:c r="F296" s="33" t="n">
        <x:v>400</x:v>
      </x:c>
      <x:c r="G296" s="33" t="n">
        <x:v>500</x:v>
      </x:c>
      <x:c r="H296" s="34" t="str">
        <x:v>one_time</x:v>
      </x:c>
      <x:c r="I296" s="33" t="n">
        <x:v>625</x:v>
      </x:c>
      <x:c r="J296" s="35" t="str">
        <x:v>Planning allowance; written quote needed</x:v>
      </x:c>
      <x:c r="K296" s="36" t="str">
        <x:v>ALLOW</x:v>
      </x:c>
      <x:c r="L296" s="37" t="n">
        <x:f>ROUND(E296*F296,2)</x:f>
        <x:v>400</x:v>
      </x:c>
      <x:c r="M296" s="37" t="n">
        <x:f>ROUND(E296*G296,2)</x:f>
        <x:v>500</x:v>
      </x:c>
      <x:c r="N296" s="37" t="n">
        <x:f>ROUND(E296*I296,2)</x:f>
        <x:v>625</x:v>
      </x:c>
      <x:c r="O296" s="18" t="str">
        <x:v>Assumed usage/quantity; vendor pricing only verified for specific named unit. Taxes, freight and overhead listed separately. Low/high are -20%/+25% rate sensitivity, not observed market range.</x:v>
      </x:c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48" customHeight="1">
      <x:c r="A297" s="1" t="str">
        <x:v>EXT-056</x:v>
      </x:c>
      <x:c r="B297" s="1" t="str">
        <x:v>Other business facets</x:v>
      </x:c>
      <x:c r="C297" s="18" t="str">
        <x:v>Plush safety laboratory tests by material and age grade</x:v>
      </x:c>
      <x:c r="D297" s="18" t="str">
        <x:v>character/material lab suite</x:v>
      </x:c>
      <x:c r="E297" s="32" t="n">
        <x:v>4</x:v>
      </x:c>
      <x:c r="F297" s="33" t="n">
        <x:v>1600</x:v>
      </x:c>
      <x:c r="G297" s="33" t="n">
        <x:v>2000</x:v>
      </x:c>
      <x:c r="H297" s="34" t="str">
        <x:v>one_time</x:v>
      </x:c>
      <x:c r="I297" s="33" t="n">
        <x:v>2500</x:v>
      </x:c>
      <x:c r="J297" s="35" t="str">
        <x:v>Planning allowance; written quote needed</x:v>
      </x:c>
      <x:c r="K297" s="36" t="str">
        <x:v>CPSC</x:v>
      </x:c>
      <x:c r="L297" s="37" t="n">
        <x:f>ROUND(E297*F297,2)</x:f>
        <x:v>6400</x:v>
      </x:c>
      <x:c r="M297" s="37" t="n">
        <x:f>ROUND(E297*G297,2)</x:f>
        <x:v>8000</x:v>
      </x:c>
      <x:c r="N297" s="37" t="n">
        <x:f>ROUND(E297*I297,2)</x:f>
        <x:v>10000</x:v>
      </x:c>
      <x:c r="O297" s="18" t="str">
        <x:v>Assumed usage/quantity; vendor pricing only verified for specific named unit. Taxes, freight and overhead listed separately. Low/high are -20%/+25% rate sensitivity, not observed market range.</x:v>
      </x:c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48" customHeight="1">
      <x:c r="A298" s="1" t="str">
        <x:v>EXT-057</x:v>
      </x:c>
      <x:c r="B298" s="1" t="str">
        <x:v>Other business facets</x:v>
      </x:c>
      <x:c r="C298" s="18" t="str">
        <x:v>Children product certificate preparation and records</x:v>
      </x:c>
      <x:c r="D298" s="18" t="str">
        <x:v>certificate record hour</x:v>
      </x:c>
      <x:c r="E298" s="32" t="n">
        <x:v>16</x:v>
      </x:c>
      <x:c r="F298" s="33" t="n">
        <x:v>60</x:v>
      </x:c>
      <x:c r="G298" s="33" t="n">
        <x:v>75</x:v>
      </x:c>
      <x:c r="H298" s="34" t="str">
        <x:v>one_time</x:v>
      </x:c>
      <x:c r="I298" s="33" t="n">
        <x:v>93.75</x:v>
      </x:c>
      <x:c r="J298" s="35" t="str">
        <x:v>Planning allowance; written quote needed</x:v>
      </x:c>
      <x:c r="K298" s="36" t="str">
        <x:v>ALLOW</x:v>
      </x:c>
      <x:c r="L298" s="37" t="n">
        <x:f>ROUND(E298*F298,2)</x:f>
        <x:v>960</x:v>
      </x:c>
      <x:c r="M298" s="37" t="n">
        <x:f>ROUND(E298*G298,2)</x:f>
        <x:v>1200</x:v>
      </x:c>
      <x:c r="N298" s="37" t="n">
        <x:f>ROUND(E298*I298,2)</x:f>
        <x:v>1500</x:v>
      </x:c>
      <x:c r="O298" s="18" t="str">
        <x:v>Assumed usage/quantity; vendor pricing only verified for specific named unit. Taxes, freight and overhead listed separately. Low/high are -20%/+25% rate sensitivity, not observed market range.</x:v>
      </x:c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48" customHeight="1">
      <x:c r="A299" s="1" t="str">
        <x:v>EXT-058</x:v>
      </x:c>
      <x:c r="B299" s="1" t="str">
        <x:v>Other business facets</x:v>
      </x:c>
      <x:c r="C299" s="18" t="str">
        <x:v>Plush tracking-label printing</x:v>
      </x:c>
      <x:c r="D299" s="18" t="str">
        <x:v>tracking label</x:v>
      </x:c>
      <x:c r="E299" s="32" t="n">
        <x:v>200</x:v>
      </x:c>
      <x:c r="F299" s="33" t="n">
        <x:v>0.2</x:v>
      </x:c>
      <x:c r="G299" s="33" t="n">
        <x:v>0.25</x:v>
      </x:c>
      <x:c r="H299" s="34" t="str">
        <x:v>inventory</x:v>
      </x:c>
      <x:c r="I299" s="33" t="n">
        <x:v>0.3125</x:v>
      </x:c>
      <x:c r="J299" s="35" t="str">
        <x:v>Planning allowance; written quote needed</x:v>
      </x:c>
      <x:c r="K299" s="36" t="str">
        <x:v>ALLOW</x:v>
      </x:c>
      <x:c r="L299" s="37" t="n">
        <x:f>ROUND(E299*F299,2)</x:f>
        <x:v>40</x:v>
      </x:c>
      <x:c r="M299" s="37" t="n">
        <x:f>ROUND(E299*G299,2)</x:f>
        <x:v>50</x:v>
      </x:c>
      <x:c r="N299" s="37" t="n">
        <x:f>ROUND(E299*I299,2)</x:f>
        <x:v>62.5</x:v>
      </x:c>
      <x:c r="O299" s="18" t="str">
        <x:v>Assumed usage/quantity; vendor pricing only verified for specific named unit. Taxes, freight and overhead listed separately. Low/high are -20%/+25% rate sensitivity, not observed market range.</x:v>
      </x:c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48" customHeight="1">
      <x:c r="A300" s="1" t="str">
        <x:v>EXT-059</x:v>
      </x:c>
      <x:c r="B300" s="1" t="str">
        <x:v>Other business facets</x:v>
      </x:c>
      <x:c r="C300" s="18" t="str">
        <x:v>Plush packaging artwork</x:v>
      </x:c>
      <x:c r="D300" s="18" t="str">
        <x:v>packaging art hour</x:v>
      </x:c>
      <x:c r="E300" s="32" t="n">
        <x:v>16</x:v>
      </x:c>
      <x:c r="F300" s="33" t="n">
        <x:v>80</x:v>
      </x:c>
      <x:c r="G300" s="33" t="n">
        <x:v>100</x:v>
      </x:c>
      <x:c r="H300" s="34" t="str">
        <x:v>one_time</x:v>
      </x:c>
      <x:c r="I300" s="33" t="n">
        <x:v>125</x:v>
      </x:c>
      <x:c r="J300" s="35" t="str">
        <x:v>Planning allowance; written quote needed</x:v>
      </x:c>
      <x:c r="K300" s="36" t="str">
        <x:v>ALLOW</x:v>
      </x:c>
      <x:c r="L300" s="37" t="n">
        <x:f>ROUND(E300*F300,2)</x:f>
        <x:v>1280</x:v>
      </x:c>
      <x:c r="M300" s="37" t="n">
        <x:f>ROUND(E300*G300,2)</x:f>
        <x:v>1600</x:v>
      </x:c>
      <x:c r="N300" s="37" t="n">
        <x:f>ROUND(E300*I300,2)</x:f>
        <x:v>2000</x:v>
      </x:c>
      <x:c r="O300" s="18" t="str">
        <x:v>Assumed usage/quantity; vendor pricing only verified for specific named unit. Taxes, freight and overhead listed separately. Low/high are -20%/+25% rate sensitivity, not observed market range.</x:v>
      </x:c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48" customHeight="1">
      <x:c r="A301" s="1" t="str">
        <x:v>EXT-060</x:v>
      </x:c>
      <x:c r="B301" s="1" t="str">
        <x:v>Other business facets</x:v>
      </x:c>
      <x:c r="C301" s="18" t="str">
        <x:v>Plush packaging manufacture</x:v>
      </x:c>
      <x:c r="D301" s="18" t="str">
        <x:v>plush box</x:v>
      </x:c>
      <x:c r="E301" s="32" t="n">
        <x:v>200</x:v>
      </x:c>
      <x:c r="F301" s="33" t="n">
        <x:v>1.6</x:v>
      </x:c>
      <x:c r="G301" s="33" t="n">
        <x:v>2</x:v>
      </x:c>
      <x:c r="H301" s="34" t="str">
        <x:v>inventory</x:v>
      </x:c>
      <x:c r="I301" s="33" t="n">
        <x:v>2.5</x:v>
      </x:c>
      <x:c r="J301" s="35" t="str">
        <x:v>Planning allowance; written quote needed</x:v>
      </x:c>
      <x:c r="K301" s="36" t="str">
        <x:v>ALLOW</x:v>
      </x:c>
      <x:c r="L301" s="37" t="n">
        <x:f>ROUND(E301*F301,2)</x:f>
        <x:v>320</x:v>
      </x:c>
      <x:c r="M301" s="37" t="n">
        <x:f>ROUND(E301*G301,2)</x:f>
        <x:v>400</x:v>
      </x:c>
      <x:c r="N301" s="37" t="n">
        <x:f>ROUND(E301*I301,2)</x:f>
        <x:v>500</x:v>
      </x:c>
      <x:c r="O301" s="18" t="str">
        <x:v>Assumed usage/quantity; vendor pricing only verified for specific named unit. Taxes, freight and overhead listed separately. Low/high are -20%/+25% rate sensitivity, not observed market range.</x:v>
      </x:c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48" customHeight="1">
      <x:c r="A302" s="1" t="str">
        <x:v>EXT-061</x:v>
      </x:c>
      <x:c r="B302" s="1" t="str">
        <x:v>Other business facets</x:v>
      </x:c>
      <x:c r="C302" s="18" t="str">
        <x:v>Apparel artwork separation by character and color</x:v>
      </x:c>
      <x:c r="D302" s="18" t="str">
        <x:v>separation hour</x:v>
      </x:c>
      <x:c r="E302" s="32" t="n">
        <x:v>16</x:v>
      </x:c>
      <x:c r="F302" s="33" t="n">
        <x:v>80</x:v>
      </x:c>
      <x:c r="G302" s="33" t="n">
        <x:v>100</x:v>
      </x:c>
      <x:c r="H302" s="34" t="str">
        <x:v>one_time</x:v>
      </x:c>
      <x:c r="I302" s="33" t="n">
        <x:v>125</x:v>
      </x:c>
      <x:c r="J302" s="35" t="str">
        <x:v>Planning allowance; written quote needed</x:v>
      </x:c>
      <x:c r="K302" s="36" t="str">
        <x:v>ALLOW</x:v>
      </x:c>
      <x:c r="L302" s="37" t="n">
        <x:f>ROUND(E302*F302,2)</x:f>
        <x:v>1280</x:v>
      </x:c>
      <x:c r="M302" s="37" t="n">
        <x:f>ROUND(E302*G302,2)</x:f>
        <x:v>1600</x:v>
      </x:c>
      <x:c r="N302" s="37" t="n">
        <x:f>ROUND(E302*I302,2)</x:f>
        <x:v>2000</x:v>
      </x:c>
      <x:c r="O302" s="18" t="str">
        <x:v>Assumed usage/quantity; vendor pricing only verified for specific named unit. Taxes, freight and overhead listed separately. Low/high are -20%/+25% rate sensitivity, not observed market range.</x:v>
      </x:c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48" customHeight="1">
      <x:c r="A303" s="1" t="str">
        <x:v>EXT-064</x:v>
      </x:c>
      <x:c r="B303" s="1" t="str">
        <x:v>Other business facets</x:v>
      </x:c>
      <x:c r="C303" s="18" t="str">
        <x:v>Apparel sample and wash-durability test</x:v>
      </x:c>
      <x:c r="D303" s="18" t="str">
        <x:v>apparel sample/test</x:v>
      </x:c>
      <x:c r="E303" s="32" t="n">
        <x:v>12</x:v>
      </x:c>
      <x:c r="F303" s="33" t="n">
        <x:v>40</x:v>
      </x:c>
      <x:c r="G303" s="33" t="n">
        <x:v>50</x:v>
      </x:c>
      <x:c r="H303" s="34" t="str">
        <x:v>one_time</x:v>
      </x:c>
      <x:c r="I303" s="33" t="n">
        <x:v>62.5</x:v>
      </x:c>
      <x:c r="J303" s="35" t="str">
        <x:v>Planning allowance; written quote needed</x:v>
      </x:c>
      <x:c r="K303" s="36" t="str">
        <x:v>ALLOW</x:v>
      </x:c>
      <x:c r="L303" s="37" t="n">
        <x:f>ROUND(E303*F303,2)</x:f>
        <x:v>480</x:v>
      </x:c>
      <x:c r="M303" s="37" t="n">
        <x:f>ROUND(E303*G303,2)</x:f>
        <x:v>600</x:v>
      </x:c>
      <x:c r="N303" s="37" t="n">
        <x:f>ROUND(E303*I303,2)</x:f>
        <x:v>750</x:v>
      </x:c>
      <x:c r="O303" s="18" t="str">
        <x:v>Assumed usage/quantity; vendor pricing only verified for specific named unit. Taxes, freight and overhead listed separately. Low/high are -20%/+25% rate sensitivity, not observed market range.</x:v>
      </x:c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48" customHeight="1">
      <x:c r="A304" s="1" t="str">
        <x:v>EXT-065</x:v>
      </x:c>
      <x:c r="B304" s="1" t="str">
        <x:v>Other business facets</x:v>
      </x:c>
      <x:c r="C304" s="18" t="str">
        <x:v>Drinkware production sample</x:v>
      </x:c>
      <x:c r="D304" s="18" t="str">
        <x:v>drinkware sample</x:v>
      </x:c>
      <x:c r="E304" s="32" t="n">
        <x:v>4</x:v>
      </x:c>
      <x:c r="F304" s="33" t="n">
        <x:v>80</x:v>
      </x:c>
      <x:c r="G304" s="33" t="n">
        <x:v>100</x:v>
      </x:c>
      <x:c r="H304" s="34" t="str">
        <x:v>one_time</x:v>
      </x:c>
      <x:c r="I304" s="33" t="n">
        <x:v>125</x:v>
      </x:c>
      <x:c r="J304" s="35" t="str">
        <x:v>Planning allowance; written quote needed</x:v>
      </x:c>
      <x:c r="K304" s="36" t="str">
        <x:v>ALLOW</x:v>
      </x:c>
      <x:c r="L304" s="37" t="n">
        <x:f>ROUND(E304*F304,2)</x:f>
        <x:v>320</x:v>
      </x:c>
      <x:c r="M304" s="37" t="n">
        <x:f>ROUND(E304*G304,2)</x:f>
        <x:v>400</x:v>
      </x:c>
      <x:c r="N304" s="37" t="n">
        <x:f>ROUND(E304*I304,2)</x:f>
        <x:v>500</x:v>
      </x:c>
      <x:c r="O304" s="18" t="str">
        <x:v>Assumed usage/quantity; vendor pricing only verified for specific named unit. Taxes, freight and overhead listed separately. Low/high are -20%/+25% rate sensitivity, not observed market range.</x:v>
      </x:c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48" customHeight="1">
      <x:c r="A305" s="1" t="str">
        <x:v>EXT-066</x:v>
      </x:c>
      <x:c r="B305" s="1" t="str">
        <x:v>Other business facets</x:v>
      </x:c>
      <x:c r="C305" s="18" t="str">
        <x:v>Drinkware materials and applicable safety testing</x:v>
      </x:c>
      <x:c r="D305" s="18" t="str">
        <x:v>material test suite</x:v>
      </x:c>
      <x:c r="E305" s="32" t="n">
        <x:v>4</x:v>
      </x:c>
      <x:c r="F305" s="33" t="n">
        <x:v>800</x:v>
      </x:c>
      <x:c r="G305" s="33" t="n">
        <x:v>1000</x:v>
      </x:c>
      <x:c r="H305" s="34" t="str">
        <x:v>one_time</x:v>
      </x:c>
      <x:c r="I305" s="33" t="n">
        <x:v>1250</x:v>
      </x:c>
      <x:c r="J305" s="35" t="str">
        <x:v>Planning allowance; written quote needed</x:v>
      </x:c>
      <x:c r="K305" s="36" t="str">
        <x:v>CPSC</x:v>
      </x:c>
      <x:c r="L305" s="37" t="n">
        <x:f>ROUND(E305*F305,2)</x:f>
        <x:v>3200</x:v>
      </x:c>
      <x:c r="M305" s="37" t="n">
        <x:f>ROUND(E305*G305,2)</x:f>
        <x:v>4000</x:v>
      </x:c>
      <x:c r="N305" s="37" t="n">
        <x:f>ROUND(E305*I305,2)</x:f>
        <x:v>5000</x:v>
      </x:c>
      <x:c r="O305" s="18" t="str">
        <x:v>Assumed usage/quantity; vendor pricing only verified for specific named unit. Taxes, freight and overhead listed separately. Low/high are -20%/+25% rate sensitivity, not observed market range.</x:v>
      </x:c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48" customHeight="1">
      <x:c r="A306" s="1" t="str">
        <x:v>EXT-067</x:v>
      </x:c>
      <x:c r="B306" s="1" t="str">
        <x:v>Other business facets</x:v>
      </x:c>
      <x:c r="C306" s="18" t="str">
        <x:v>Backpack prototype and safety review</x:v>
      </x:c>
      <x:c r="D306" s="18" t="str">
        <x:v>backpack prototype</x:v>
      </x:c>
      <x:c r="E306" s="32" t="n">
        <x:v>4</x:v>
      </x:c>
      <x:c r="F306" s="33" t="n">
        <x:v>320</x:v>
      </x:c>
      <x:c r="G306" s="33" t="n">
        <x:v>400</x:v>
      </x:c>
      <x:c r="H306" s="34" t="str">
        <x:v>one_time</x:v>
      </x:c>
      <x:c r="I306" s="33" t="n">
        <x:v>500</x:v>
      </x:c>
      <x:c r="J306" s="35" t="str">
        <x:v>Planning allowance; written quote needed</x:v>
      </x:c>
      <x:c r="K306" s="36" t="str">
        <x:v>ALLOW</x:v>
      </x:c>
      <x:c r="L306" s="37" t="n">
        <x:f>ROUND(E306*F306,2)</x:f>
        <x:v>1280</x:v>
      </x:c>
      <x:c r="M306" s="37" t="n">
        <x:f>ROUND(E306*G306,2)</x:f>
        <x:v>1600</x:v>
      </x:c>
      <x:c r="N306" s="37" t="n">
        <x:f>ROUND(E306*I306,2)</x:f>
        <x:v>2000</x:v>
      </x:c>
      <x:c r="O306" s="18" t="str">
        <x:v>Assumed usage/quantity; vendor pricing only verified for specific named unit. Taxes, freight and overhead listed separately. Low/high are -20%/+25% rate sensitivity, not observed market range.</x:v>
      </x:c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48" customHeight="1">
      <x:c r="A307" s="1" t="str">
        <x:v>EXT-068</x:v>
      </x:c>
      <x:c r="B307" s="1" t="str">
        <x:v>Other business facets</x:v>
      </x:c>
      <x:c r="C307" s="18" t="str">
        <x:v>Book print proof</x:v>
      </x:c>
      <x:c r="D307" s="18" t="str">
        <x:v>book proof</x:v>
      </x:c>
      <x:c r="E307" s="32" t="n">
        <x:v>10</x:v>
      </x:c>
      <x:c r="F307" s="33" t="n">
        <x:v>40</x:v>
      </x:c>
      <x:c r="G307" s="33" t="n">
        <x:v>50</x:v>
      </x:c>
      <x:c r="H307" s="34" t="str">
        <x:v>one_time</x:v>
      </x:c>
      <x:c r="I307" s="33" t="n">
        <x:v>62.5</x:v>
      </x:c>
      <x:c r="J307" s="35" t="str">
        <x:v>Planning allowance; written quote needed</x:v>
      </x:c>
      <x:c r="K307" s="36" t="str">
        <x:v>ALLOW</x:v>
      </x:c>
      <x:c r="L307" s="37" t="n">
        <x:f>ROUND(E307*F307,2)</x:f>
        <x:v>400</x:v>
      </x:c>
      <x:c r="M307" s="37" t="n">
        <x:f>ROUND(E307*G307,2)</x:f>
        <x:v>500</x:v>
      </x:c>
      <x:c r="N307" s="37" t="n">
        <x:f>ROUND(E307*I307,2)</x:f>
        <x:v>625</x:v>
      </x:c>
      <x:c r="O307" s="18" t="str">
        <x:v>Assumed usage/quantity; vendor pricing only verified for specific named unit. Taxes, freight and overhead listed separately. Low/high are -20%/+25% rate sensitivity, not observed market range.</x:v>
      </x:c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48" customHeight="1">
      <x:c r="A308" s="1" t="str">
        <x:v>EXT-070</x:v>
      </x:c>
      <x:c r="B308" s="1" t="str">
        <x:v>Other business facets</x:v>
      </x:c>
      <x:c r="C308" s="18" t="str">
        <x:v>Book ISBN registration if needed</x:v>
      </x:c>
      <x:c r="D308" s="18" t="str">
        <x:v>ISBN bundle allowance</x:v>
      </x:c>
      <x:c r="E308" s="32" t="n">
        <x:v>1</x:v>
      </x:c>
      <x:c r="F308" s="33" t="n">
        <x:v>236</x:v>
      </x:c>
      <x:c r="G308" s="33" t="n">
        <x:v>295</x:v>
      </x:c>
      <x:c r="H308" s="34" t="str">
        <x:v>one_time</x:v>
      </x:c>
      <x:c r="I308" s="33" t="n">
        <x:v>368.75</x:v>
      </x:c>
      <x:c r="J308" s="35" t="str">
        <x:v>Planning allowance; written quote needed</x:v>
      </x:c>
      <x:c r="K308" s="36" t="str">
        <x:v>ALLOW</x:v>
      </x:c>
      <x:c r="L308" s="37" t="n">
        <x:f>ROUND(E308*F308,2)</x:f>
        <x:v>236</x:v>
      </x:c>
      <x:c r="M308" s="37" t="n">
        <x:f>ROUND(E308*G308,2)</x:f>
        <x:v>295</x:v>
      </x:c>
      <x:c r="N308" s="37" t="n">
        <x:f>ROUND(E308*I308,2)</x:f>
        <x:v>368.75</x:v>
      </x:c>
      <x:c r="O308" s="18" t="str">
        <x:v>Assumed usage/quantity; vendor pricing only verified for specific named unit. Taxes, freight and overhead listed separately. Low/high are -20%/+25% rate sensitivity, not observed market range.</x:v>
      </x:c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48" customHeight="1">
      <x:c r="A309" s="1" t="str">
        <x:v>EXT-071</x:v>
      </x:c>
      <x:c r="B309" s="1" t="str">
        <x:v>Other business facets</x:v>
      </x:c>
      <x:c r="C309" s="18" t="str">
        <x:v>Book freight</x:v>
      </x:c>
      <x:c r="D309" s="18" t="str">
        <x:v>book freight</x:v>
      </x:c>
      <x:c r="E309" s="32" t="n">
        <x:v>1</x:v>
      </x:c>
      <x:c r="F309" s="33" t="n">
        <x:v>240</x:v>
      </x:c>
      <x:c r="G309" s="33" t="n">
        <x:v>300</x:v>
      </x:c>
      <x:c r="H309" s="34" t="str">
        <x:v>one_time</x:v>
      </x:c>
      <x:c r="I309" s="33" t="n">
        <x:v>375</x:v>
      </x:c>
      <x:c r="J309" s="35" t="str">
        <x:v>Planning allowance; written quote needed</x:v>
      </x:c>
      <x:c r="K309" s="36" t="str">
        <x:v>ALLOW</x:v>
      </x:c>
      <x:c r="L309" s="37" t="n">
        <x:f>ROUND(E309*F309,2)</x:f>
        <x:v>240</x:v>
      </x:c>
      <x:c r="M309" s="37" t="n">
        <x:f>ROUND(E309*G309,2)</x:f>
        <x:v>300</x:v>
      </x:c>
      <x:c r="N309" s="37" t="n">
        <x:f>ROUND(E309*I309,2)</x:f>
        <x:v>375</x:v>
      </x:c>
      <x:c r="O309" s="18" t="str">
        <x:v>Assumed usage/quantity; vendor pricing only verified for specific named unit. Taxes, freight and overhead listed separately. Low/high are -20%/+25% rate sensitivity, not observed market range.</x:v>
      </x:c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48" customHeight="1">
      <x:c r="A310" s="1" t="str">
        <x:v>EXT-072</x:v>
      </x:c>
      <x:c r="B310" s="1" t="str">
        <x:v>Other business facets</x:v>
      </x:c>
      <x:c r="C310" s="18" t="str">
        <x:v>Booker blue carpet prototype</x:v>
      </x:c>
      <x:c r="D310" s="18" t="str">
        <x:v>carpet prototype</x:v>
      </x:c>
      <x:c r="E310" s="32" t="n">
        <x:v>1</x:v>
      </x:c>
      <x:c r="F310" s="33" t="n">
        <x:v>280</x:v>
      </x:c>
      <x:c r="G310" s="33" t="n">
        <x:v>350</x:v>
      </x:c>
      <x:c r="H310" s="34" t="str">
        <x:v>one_time</x:v>
      </x:c>
      <x:c r="I310" s="33" t="n">
        <x:v>437.5</x:v>
      </x:c>
      <x:c r="J310" s="35" t="str">
        <x:v>Planning allowance; written quote needed</x:v>
      </x:c>
      <x:c r="K310" s="36" t="str">
        <x:v>ALLOW</x:v>
      </x:c>
      <x:c r="L310" s="37" t="n">
        <x:f>ROUND(E310*F310,2)</x:f>
        <x:v>280</x:v>
      </x:c>
      <x:c r="M310" s="37" t="n">
        <x:f>ROUND(E310*G310,2)</x:f>
        <x:v>350</x:v>
      </x:c>
      <x:c r="N310" s="37" t="n">
        <x:f>ROUND(E310*I310,2)</x:f>
        <x:v>437.5</x:v>
      </x:c>
      <x:c r="O310" s="18" t="str">
        <x:v>Assumed usage/quantity; vendor pricing only verified for specific named unit. Taxes, freight and overhead listed separately. Low/high are -20%/+25% rate sensitivity, not observed market range.</x:v>
      </x:c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48" customHeight="1">
      <x:c r="A311" s="1" t="str">
        <x:v>EXT-073</x:v>
      </x:c>
      <x:c r="B311" s="1" t="str">
        <x:v>Other business facets</x:v>
      </x:c>
      <x:c r="C311" s="18" t="str">
        <x:v>Lumi matching carpet prototype</x:v>
      </x:c>
      <x:c r="D311" s="18" t="str">
        <x:v>carpet prototype</x:v>
      </x:c>
      <x:c r="E311" s="32" t="n">
        <x:v>1</x:v>
      </x:c>
      <x:c r="F311" s="33" t="n">
        <x:v>280</x:v>
      </x:c>
      <x:c r="G311" s="33" t="n">
        <x:v>350</x:v>
      </x:c>
      <x:c r="H311" s="34" t="str">
        <x:v>one_time</x:v>
      </x:c>
      <x:c r="I311" s="33" t="n">
        <x:v>437.5</x:v>
      </x:c>
      <x:c r="J311" s="35" t="str">
        <x:v>Planning allowance; written quote needed</x:v>
      </x:c>
      <x:c r="K311" s="36" t="str">
        <x:v>ALLOW</x:v>
      </x:c>
      <x:c r="L311" s="37" t="n">
        <x:f>ROUND(E311*F311,2)</x:f>
        <x:v>280</x:v>
      </x:c>
      <x:c r="M311" s="37" t="n">
        <x:f>ROUND(E311*G311,2)</x:f>
        <x:v>350</x:v>
      </x:c>
      <x:c r="N311" s="37" t="n">
        <x:f>ROUND(E311*I311,2)</x:f>
        <x:v>437.5</x:v>
      </x:c>
      <x:c r="O311" s="18" t="str">
        <x:v>Assumed usage/quantity; vendor pricing only verified for specific named unit. Taxes, freight and overhead listed separately. Low/high are -20%/+25% rate sensitivity, not observed market range.</x:v>
      </x:c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48" customHeight="1">
      <x:c r="A312" s="1" t="str">
        <x:v>EXT-074</x:v>
      </x:c>
      <x:c r="B312" s="1" t="str">
        <x:v>Other business facets</x:v>
      </x:c>
      <x:c r="C312" s="18" t="str">
        <x:v>Zuri green carpet prototype</x:v>
      </x:c>
      <x:c r="D312" s="18" t="str">
        <x:v>carpet prototype</x:v>
      </x:c>
      <x:c r="E312" s="32" t="n">
        <x:v>1</x:v>
      </x:c>
      <x:c r="F312" s="33" t="n">
        <x:v>280</x:v>
      </x:c>
      <x:c r="G312" s="33" t="n">
        <x:v>350</x:v>
      </x:c>
      <x:c r="H312" s="34" t="str">
        <x:v>one_time</x:v>
      </x:c>
      <x:c r="I312" s="33" t="n">
        <x:v>437.5</x:v>
      </x:c>
      <x:c r="J312" s="35" t="str">
        <x:v>Planning allowance; written quote needed</x:v>
      </x:c>
      <x:c r="K312" s="36" t="str">
        <x:v>ALLOW</x:v>
      </x:c>
      <x:c r="L312" s="37" t="n">
        <x:f>ROUND(E312*F312,2)</x:f>
        <x:v>280</x:v>
      </x:c>
      <x:c r="M312" s="37" t="n">
        <x:f>ROUND(E312*G312,2)</x:f>
        <x:v>350</x:v>
      </x:c>
      <x:c r="N312" s="37" t="n">
        <x:f>ROUND(E312*I312,2)</x:f>
        <x:v>437.5</x:v>
      </x:c>
      <x:c r="O312" s="18" t="str">
        <x:v>Assumed usage/quantity; vendor pricing only verified for specific named unit. Taxes, freight and overhead listed separately. Low/high are -20%/+25% rate sensitivity, not observed market range.</x:v>
      </x:c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48" customHeight="1">
      <x:c r="A313" s="1" t="str">
        <x:v>EXT-075</x:v>
      </x:c>
      <x:c r="B313" s="1" t="str">
        <x:v>Other business facets</x:v>
      </x:c>
      <x:c r="C313" s="18" t="str">
        <x:v>Bop matching carpet prototype</x:v>
      </x:c>
      <x:c r="D313" s="18" t="str">
        <x:v>carpet prototype</x:v>
      </x:c>
      <x:c r="E313" s="32" t="n">
        <x:v>1</x:v>
      </x:c>
      <x:c r="F313" s="33" t="n">
        <x:v>280</x:v>
      </x:c>
      <x:c r="G313" s="33" t="n">
        <x:v>350</x:v>
      </x:c>
      <x:c r="H313" s="34" t="str">
        <x:v>one_time</x:v>
      </x:c>
      <x:c r="I313" s="33" t="n">
        <x:v>437.5</x:v>
      </x:c>
      <x:c r="J313" s="35" t="str">
        <x:v>Planning allowance; written quote needed</x:v>
      </x:c>
      <x:c r="K313" s="36" t="str">
        <x:v>ALLOW</x:v>
      </x:c>
      <x:c r="L313" s="37" t="n">
        <x:f>ROUND(E313*F313,2)</x:f>
        <x:v>280</x:v>
      </x:c>
      <x:c r="M313" s="37" t="n">
        <x:f>ROUND(E313*G313,2)</x:f>
        <x:v>350</x:v>
      </x:c>
      <x:c r="N313" s="37" t="n">
        <x:f>ROUND(E313*I313,2)</x:f>
        <x:v>437.5</x:v>
      </x:c>
      <x:c r="O313" s="18" t="str">
        <x:v>Assumed usage/quantity; vendor pricing only verified for specific named unit. Taxes, freight and overhead listed separately. Low/high are -20%/+25% rate sensitivity, not observed market range.</x:v>
      </x:c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48" customHeight="1">
      <x:c r="A314" s="1" t="str">
        <x:v>EXT-077</x:v>
      </x:c>
      <x:c r="B314" s="1" t="str">
        <x:v>Other business facets</x:v>
      </x:c>
      <x:c r="C314" s="18" t="str">
        <x:v>Carpet applicable flammability and materials testing</x:v>
      </x:c>
      <x:c r="D314" s="18" t="str">
        <x:v>carpet test suite</x:v>
      </x:c>
      <x:c r="E314" s="32" t="n">
        <x:v>4</x:v>
      </x:c>
      <x:c r="F314" s="33" t="n">
        <x:v>800</x:v>
      </x:c>
      <x:c r="G314" s="33" t="n">
        <x:v>1000</x:v>
      </x:c>
      <x:c r="H314" s="34" t="str">
        <x:v>one_time</x:v>
      </x:c>
      <x:c r="I314" s="33" t="n">
        <x:v>1250</x:v>
      </x:c>
      <x:c r="J314" s="35" t="str">
        <x:v>Planning allowance; written quote needed</x:v>
      </x:c>
      <x:c r="K314" s="36" t="str">
        <x:v>CPSC</x:v>
      </x:c>
      <x:c r="L314" s="37" t="n">
        <x:f>ROUND(E314*F314,2)</x:f>
        <x:v>3200</x:v>
      </x:c>
      <x:c r="M314" s="37" t="n">
        <x:f>ROUND(E314*G314,2)</x:f>
        <x:v>4000</x:v>
      </x:c>
      <x:c r="N314" s="37" t="n">
        <x:f>ROUND(E314*I314,2)</x:f>
        <x:v>5000</x:v>
      </x:c>
      <x:c r="O314" s="18" t="str">
        <x:v>Assumed usage/quantity; vendor pricing only verified for specific named unit. Taxes, freight and overhead listed separately. Low/high are -20%/+25% rate sensitivity, not observed market range.</x:v>
      </x:c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48" customHeight="1">
      <x:c r="A315" s="1" t="str">
        <x:v>EXT-078</x:v>
      </x:c>
      <x:c r="B315" s="1" t="str">
        <x:v>Other business facets</x:v>
      </x:c>
      <x:c r="C315" s="18" t="str">
        <x:v>Matching poster proof by zone</x:v>
      </x:c>
      <x:c r="D315" s="18" t="str">
        <x:v>poster proof</x:v>
      </x:c>
      <x:c r="E315" s="32" t="n">
        <x:v>8</x:v>
      </x:c>
      <x:c r="F315" s="33" t="n">
        <x:v>24</x:v>
      </x:c>
      <x:c r="G315" s="33" t="n">
        <x:v>30</x:v>
      </x:c>
      <x:c r="H315" s="34" t="str">
        <x:v>one_time</x:v>
      </x:c>
      <x:c r="I315" s="33" t="n">
        <x:v>37.5</x:v>
      </x:c>
      <x:c r="J315" s="35" t="str">
        <x:v>Planning allowance; written quote needed</x:v>
      </x:c>
      <x:c r="K315" s="36" t="str">
        <x:v>ALLOW</x:v>
      </x:c>
      <x:c r="L315" s="37" t="n">
        <x:f>ROUND(E315*F315,2)</x:f>
        <x:v>192</x:v>
      </x:c>
      <x:c r="M315" s="37" t="n">
        <x:f>ROUND(E315*G315,2)</x:f>
        <x:v>240</x:v>
      </x:c>
      <x:c r="N315" s="37" t="n">
        <x:f>ROUND(E315*I315,2)</x:f>
        <x:v>300</x:v>
      </x:c>
      <x:c r="O315" s="18" t="str">
        <x:v>Assumed usage/quantity; vendor pricing only verified for specific named unit. Taxes, freight and overhead listed separately. Low/high are -20%/+25% rate sensitivity, not observed market range.</x:v>
      </x:c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48" customHeight="1">
      <x:c r="A316" s="1" t="str">
        <x:v>EXT-080</x:v>
      </x:c>
      <x:c r="B316" s="1" t="str">
        <x:v>Other business facets</x:v>
      </x:c>
      <x:c r="C316" s="18" t="str">
        <x:v>QR habit card print proof</x:v>
      </x:c>
      <x:c r="D316" s="18" t="str">
        <x:v>card proof</x:v>
      </x:c>
      <x:c r="E316" s="32" t="n">
        <x:v>1</x:v>
      </x:c>
      <x:c r="F316" s="33" t="n">
        <x:v>40</x:v>
      </x:c>
      <x:c r="G316" s="33" t="n">
        <x:v>50</x:v>
      </x:c>
      <x:c r="H316" s="34" t="str">
        <x:v>one_time</x:v>
      </x:c>
      <x:c r="I316" s="33" t="n">
        <x:v>62.5</x:v>
      </x:c>
      <x:c r="J316" s="35" t="str">
        <x:v>Planning allowance; written quote needed</x:v>
      </x:c>
      <x:c r="K316" s="36" t="str">
        <x:v>ALLOW</x:v>
      </x:c>
      <x:c r="L316" s="37" t="n">
        <x:f>ROUND(E316*F316,2)</x:f>
        <x:v>40</x:v>
      </x:c>
      <x:c r="M316" s="37" t="n">
        <x:f>ROUND(E316*G316,2)</x:f>
        <x:v>50</x:v>
      </x:c>
      <x:c r="N316" s="37" t="n">
        <x:f>ROUND(E316*I316,2)</x:f>
        <x:v>62.5</x:v>
      </x:c>
      <x:c r="O316" s="18" t="str">
        <x:v>Assumed usage/quantity; vendor pricing only verified for specific named unit. Taxes, freight and overhead listed separately. Low/high are -20%/+25% rate sensitivity, not observed market range.</x:v>
      </x:c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48" customHeight="1">
      <x:c r="A317" s="1" t="str">
        <x:v>EXT-081</x:v>
      </x:c>
      <x:c r="B317" s="1" t="str">
        <x:v>Other business facets</x:v>
      </x:c>
      <x:c r="C317" s="18" t="str">
        <x:v>QR habit card printing</x:v>
      </x:c>
      <x:c r="D317" s="18" t="str">
        <x:v>card</x:v>
      </x:c>
      <x:c r="E317" s="32" t="n">
        <x:v>500</x:v>
      </x:c>
      <x:c r="F317" s="33" t="n">
        <x:v>0.48</x:v>
      </x:c>
      <x:c r="G317" s="33" t="n">
        <x:v>0.6</x:v>
      </x:c>
      <x:c r="H317" s="34" t="str">
        <x:v>inventory</x:v>
      </x:c>
      <x:c r="I317" s="33" t="n">
        <x:v>0.75</x:v>
      </x:c>
      <x:c r="J317" s="35" t="str">
        <x:v>Planning allowance; written quote needed</x:v>
      </x:c>
      <x:c r="K317" s="36" t="str">
        <x:v>ALLOW</x:v>
      </x:c>
      <x:c r="L317" s="37" t="n">
        <x:f>ROUND(E317*F317,2)</x:f>
        <x:v>240</x:v>
      </x:c>
      <x:c r="M317" s="37" t="n">
        <x:f>ROUND(E317*G317,2)</x:f>
        <x:v>300</x:v>
      </x:c>
      <x:c r="N317" s="37" t="n">
        <x:f>ROUND(E317*I317,2)</x:f>
        <x:v>375</x:v>
      </x:c>
      <x:c r="O317" s="18" t="str">
        <x:v>Assumed usage/quantity; vendor pricing only verified for specific named unit. Taxes, freight and overhead listed separately. Low/high are -20%/+25% rate sensitivity, not observed market range.</x:v>
      </x:c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48" customHeight="1">
      <x:c r="A318" s="1" t="str">
        <x:v>EXT-082</x:v>
      </x:c>
      <x:c r="B318" s="1" t="str">
        <x:v>Other business facets</x:v>
      </x:c>
      <x:c r="C318" s="18" t="str">
        <x:v>QR card lamination or coating</x:v>
      </x:c>
      <x:c r="D318" s="18" t="str">
        <x:v>coating</x:v>
      </x:c>
      <x:c r="E318" s="32" t="n">
        <x:v>500</x:v>
      </x:c>
      <x:c r="F318" s="33" t="n">
        <x:v>0.16</x:v>
      </x:c>
      <x:c r="G318" s="33" t="n">
        <x:v>0.2</x:v>
      </x:c>
      <x:c r="H318" s="34" t="str">
        <x:v>inventory</x:v>
      </x:c>
      <x:c r="I318" s="33" t="n">
        <x:v>0.25</x:v>
      </x:c>
      <x:c r="J318" s="35" t="str">
        <x:v>Planning allowance; written quote needed</x:v>
      </x:c>
      <x:c r="K318" s="36" t="str">
        <x:v>ALLOW</x:v>
      </x:c>
      <x:c r="L318" s="37" t="n">
        <x:f>ROUND(E318*F318,2)</x:f>
        <x:v>80</x:v>
      </x:c>
      <x:c r="M318" s="37" t="n">
        <x:f>ROUND(E318*G318,2)</x:f>
        <x:v>100</x:v>
      </x:c>
      <x:c r="N318" s="37" t="n">
        <x:f>ROUND(E318*I318,2)</x:f>
        <x:v>125</x:v>
      </x:c>
      <x:c r="O318" s="18" t="str">
        <x:v>Assumed usage/quantity; vendor pricing only verified for specific named unit. Taxes, freight and overhead listed separately. Low/high are -20%/+25% rate sensitivity, not observed market range.</x:v>
      </x:c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48" customHeight="1">
      <x:c r="A319" s="1" t="str">
        <x:v>EXT-084</x:v>
      </x:c>
      <x:c r="B319" s="1" t="str">
        <x:v>Other business facets</x:v>
      </x:c>
      <x:c r="C319" s="18" t="str">
        <x:v>Factory tooling or setup fee</x:v>
      </x:c>
      <x:c r="D319" s="18" t="str">
        <x:v>factory setup</x:v>
      </x:c>
      <x:c r="E319" s="32" t="n">
        <x:v>4</x:v>
      </x:c>
      <x:c r="F319" s="33" t="n">
        <x:v>240</x:v>
      </x:c>
      <x:c r="G319" s="33" t="n">
        <x:v>300</x:v>
      </x:c>
      <x:c r="H319" s="34" t="str">
        <x:v>one_time</x:v>
      </x:c>
      <x:c r="I319" s="33" t="n">
        <x:v>375</x:v>
      </x:c>
      <x:c r="J319" s="35" t="str">
        <x:v>Planning allowance; written quote needed</x:v>
      </x:c>
      <x:c r="K319" s="36" t="str">
        <x:v>ALLOW</x:v>
      </x:c>
      <x:c r="L319" s="37" t="n">
        <x:f>ROUND(E319*F319,2)</x:f>
        <x:v>960</x:v>
      </x:c>
      <x:c r="M319" s="37" t="n">
        <x:f>ROUND(E319*G319,2)</x:f>
        <x:v>1200</x:v>
      </x:c>
      <x:c r="N319" s="37" t="n">
        <x:f>ROUND(E319*I319,2)</x:f>
        <x:v>1500</x:v>
      </x:c>
      <x:c r="O319" s="18" t="str">
        <x:v>Assumed usage/quantity; vendor pricing only verified for specific named unit. Taxes, freight and overhead listed separately. Low/high are -20%/+25% rate sensitivity, not observed market range.</x:v>
      </x:c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48" customHeight="1">
      <x:c r="A320" s="1" t="str">
        <x:v>EXT-086</x:v>
      </x:c>
      <x:c r="B320" s="1" t="str">
        <x:v>Other business facets</x:v>
      </x:c>
      <x:c r="C320" s="18" t="str">
        <x:v>Manufacturing quality inspection</x:v>
      </x:c>
      <x:c r="D320" s="18" t="str">
        <x:v>inspection</x:v>
      </x:c>
      <x:c r="E320" s="32" t="n">
        <x:v>2</x:v>
      </x:c>
      <x:c r="F320" s="33" t="n">
        <x:v>280</x:v>
      </x:c>
      <x:c r="G320" s="33" t="n">
        <x:v>350</x:v>
      </x:c>
      <x:c r="H320" s="34" t="str">
        <x:v>one_time</x:v>
      </x:c>
      <x:c r="I320" s="33" t="n">
        <x:v>437.5</x:v>
      </x:c>
      <x:c r="J320" s="35" t="str">
        <x:v>Planning allowance; written quote needed</x:v>
      </x:c>
      <x:c r="K320" s="36" t="str">
        <x:v>ALLOW</x:v>
      </x:c>
      <x:c r="L320" s="37" t="n">
        <x:f>ROUND(E320*F320,2)</x:f>
        <x:v>560</x:v>
      </x:c>
      <x:c r="M320" s="37" t="n">
        <x:f>ROUND(E320*G320,2)</x:f>
        <x:v>700</x:v>
      </x:c>
      <x:c r="N320" s="37" t="n">
        <x:f>ROUND(E320*I320,2)</x:f>
        <x:v>875</x:v>
      </x:c>
      <x:c r="O320" s="18" t="str">
        <x:v>Assumed usage/quantity; vendor pricing only verified for specific named unit. Taxes, freight and overhead listed separately. Low/high are -20%/+25% rate sensitivity, not observed market range.</x:v>
      </x:c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48" customHeight="1">
      <x:c r="A321" s="1" t="str">
        <x:v>EXT-087</x:v>
      </x:c>
      <x:c r="B321" s="1" t="str">
        <x:v>Other business facets</x:v>
      </x:c>
      <x:c r="C321" s="18" t="str">
        <x:v>Factory freight to warehouse</x:v>
      </x:c>
      <x:c r="D321" s="18" t="str">
        <x:v>inbound freight</x:v>
      </x:c>
      <x:c r="E321" s="32" t="n">
        <x:v>1</x:v>
      </x:c>
      <x:c r="F321" s="33" t="n">
        <x:v>1200</x:v>
      </x:c>
      <x:c r="G321" s="33" t="n">
        <x:v>1500</x:v>
      </x:c>
      <x:c r="H321" s="34" t="str">
        <x:v>one_time</x:v>
      </x:c>
      <x:c r="I321" s="33" t="n">
        <x:v>1875</x:v>
      </x:c>
      <x:c r="J321" s="35" t="str">
        <x:v>Planning allowance; written quote needed</x:v>
      </x:c>
      <x:c r="K321" s="36" t="str">
        <x:v>ALLOW</x:v>
      </x:c>
      <x:c r="L321" s="37" t="n">
        <x:f>ROUND(E321*F321,2)</x:f>
        <x:v>1200</x:v>
      </x:c>
      <x:c r="M321" s="37" t="n">
        <x:f>ROUND(E321*G321,2)</x:f>
        <x:v>1500</x:v>
      </x:c>
      <x:c r="N321" s="37" t="n">
        <x:f>ROUND(E321*I321,2)</x:f>
        <x:v>1875</x:v>
      </x:c>
      <x:c r="O321" s="18" t="str">
        <x:v>Assumed usage/quantity; vendor pricing only verified for specific named unit. Taxes, freight and overhead listed separately. Low/high are -20%/+25% rate sensitivity, not observed market range.</x:v>
      </x:c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48" customHeight="1">
      <x:c r="A322" s="1" t="str">
        <x:v>EXT-088</x:v>
      </x:c>
      <x:c r="B322" s="1" t="str">
        <x:v>Other business facets</x:v>
      </x:c>
      <x:c r="C322" s="18" t="str">
        <x:v>Import duty and customs brokerage if applicable</x:v>
      </x:c>
      <x:c r="D322" s="18" t="str">
        <x:v>duty/broker allowance</x:v>
      </x:c>
      <x:c r="E322" s="32" t="n">
        <x:v>1</x:v>
      </x:c>
      <x:c r="F322" s="33" t="n">
        <x:v>800</x:v>
      </x:c>
      <x:c r="G322" s="33" t="n">
        <x:v>1000</x:v>
      </x:c>
      <x:c r="H322" s="34" t="str">
        <x:v>one_time</x:v>
      </x:c>
      <x:c r="I322" s="33" t="n">
        <x:v>1250</x:v>
      </x:c>
      <x:c r="J322" s="35" t="str">
        <x:v>Planning allowance; written quote needed</x:v>
      </x:c>
      <x:c r="K322" s="36" t="str">
        <x:v>ALLOW</x:v>
      </x:c>
      <x:c r="L322" s="37" t="n">
        <x:f>ROUND(E322*F322,2)</x:f>
        <x:v>800</x:v>
      </x:c>
      <x:c r="M322" s="37" t="n">
        <x:f>ROUND(E322*G322,2)</x:f>
        <x:v>1000</x:v>
      </x:c>
      <x:c r="N322" s="37" t="n">
        <x:f>ROUND(E322*I322,2)</x:f>
        <x:v>1250</x:v>
      </x:c>
      <x:c r="O322" s="18" t="str">
        <x:v>Assumed usage/quantity; vendor pricing only verified for specific named unit. Taxes, freight and overhead listed separately. Low/high are -20%/+25% rate sensitivity, not observed market range.</x:v>
      </x:c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48" customHeight="1">
      <x:c r="A323" s="1" t="str">
        <x:v>EXT-089</x:v>
      </x:c>
      <x:c r="B323" s="1" t="str">
        <x:v>Other business facets</x:v>
      </x:c>
      <x:c r="C323" s="18" t="str">
        <x:v>Receiving and inventory check-in</x:v>
      </x:c>
      <x:c r="D323" s="18" t="str">
        <x:v>receiving hour</x:v>
      </x:c>
      <x:c r="E323" s="32" t="n">
        <x:v>16</x:v>
      </x:c>
      <x:c r="F323" s="33" t="n">
        <x:v>20</x:v>
      </x:c>
      <x:c r="G323" s="33" t="n">
        <x:v>25</x:v>
      </x:c>
      <x:c r="H323" s="34" t="str">
        <x:v>one_time</x:v>
      </x:c>
      <x:c r="I323" s="33" t="n">
        <x:v>31.25</x:v>
      </x:c>
      <x:c r="J323" s="35" t="str">
        <x:v>Planning allowance; written quote needed</x:v>
      </x:c>
      <x:c r="K323" s="36" t="str">
        <x:v>ALLOW</x:v>
      </x:c>
      <x:c r="L323" s="37" t="n">
        <x:f>ROUND(E323*F323,2)</x:f>
        <x:v>320</x:v>
      </x:c>
      <x:c r="M323" s="37" t="n">
        <x:f>ROUND(E323*G323,2)</x:f>
        <x:v>400</x:v>
      </x:c>
      <x:c r="N323" s="37" t="n">
        <x:f>ROUND(E323*I323,2)</x:f>
        <x:v>500</x:v>
      </x:c>
      <x:c r="O323" s="18" t="str">
        <x:v>Assumed usage/quantity; vendor pricing only verified for specific named unit. Taxes, freight and overhead listed separately. Low/high are -20%/+25% rate sensitivity, not observed market range.</x:v>
      </x:c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48" customHeight="1">
      <x:c r="A324" s="1" t="str">
        <x:v>EXT-090</x:v>
      </x:c>
      <x:c r="B324" s="1" t="str">
        <x:v>Other business facets</x:v>
      </x:c>
      <x:c r="C324" s="18" t="str">
        <x:v>Warehouse shelf or bin storage</x:v>
      </x:c>
      <x:c r="D324" s="18" t="str">
        <x:v>storage month</x:v>
      </x:c>
      <x:c r="E324" s="32" t="n">
        <x:v>12</x:v>
      </x:c>
      <x:c r="F324" s="33" t="n">
        <x:v>120</x:v>
      </x:c>
      <x:c r="G324" s="33" t="n">
        <x:v>150</x:v>
      </x:c>
      <x:c r="H324" s="34" t="str">
        <x:v>recurring</x:v>
      </x:c>
      <x:c r="I324" s="33" t="n">
        <x:v>187.5</x:v>
      </x:c>
      <x:c r="J324" s="35" t="str">
        <x:v>Planning allowance; written quote needed</x:v>
      </x:c>
      <x:c r="K324" s="36" t="str">
        <x:v>ALLOW</x:v>
      </x:c>
      <x:c r="L324" s="37" t="n">
        <x:f>ROUND(E324*F324,2)</x:f>
        <x:v>1440</x:v>
      </x:c>
      <x:c r="M324" s="37" t="n">
        <x:f>ROUND(E324*G324,2)</x:f>
        <x:v>1800</x:v>
      </x:c>
      <x:c r="N324" s="37" t="n">
        <x:f>ROUND(E324*I324,2)</x:f>
        <x:v>2250</x:v>
      </x:c>
      <x:c r="O324" s="18" t="str">
        <x:v>Assumed usage/quantity; vendor pricing only verified for specific named unit. Taxes, freight and overhead listed separately. Low/high are -20%/+25% rate sensitivity, not observed market range.</x:v>
      </x:c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48" customHeight="1">
      <x:c r="A325" s="1" t="str">
        <x:v>EXT-091</x:v>
      </x:c>
      <x:c r="B325" s="1" t="str">
        <x:v>Other business facets</x:v>
      </x:c>
      <x:c r="C325" s="18" t="str">
        <x:v>Pick-and-pack labor per order</x:v>
      </x:c>
      <x:c r="D325" s="18" t="str">
        <x:v>order pick/pack</x:v>
      </x:c>
      <x:c r="E325" s="32" t="n">
        <x:v>400</x:v>
      </x:c>
      <x:c r="F325" s="33" t="n">
        <x:v>3.2</x:v>
      </x:c>
      <x:c r="G325" s="33" t="n">
        <x:v>4</x:v>
      </x:c>
      <x:c r="H325" s="34" t="str">
        <x:v>recurring</x:v>
      </x:c>
      <x:c r="I325" s="33" t="n">
        <x:v>5</x:v>
      </x:c>
      <x:c r="J325" s="35" t="str">
        <x:v>Planning allowance; written quote needed</x:v>
      </x:c>
      <x:c r="K325" s="36" t="str">
        <x:v>ALLOW</x:v>
      </x:c>
      <x:c r="L325" s="37" t="n">
        <x:f>ROUND(E325*F325,2)</x:f>
        <x:v>1280</x:v>
      </x:c>
      <x:c r="M325" s="37" t="n">
        <x:f>ROUND(E325*G325,2)</x:f>
        <x:v>1600</x:v>
      </x:c>
      <x:c r="N325" s="37" t="n">
        <x:f>ROUND(E325*I325,2)</x:f>
        <x:v>2000</x:v>
      </x:c>
      <x:c r="O325" s="18" t="str">
        <x:v>Assumed usage/quantity; vendor pricing only verified for specific named unit. Taxes, freight and overhead listed separately. Low/high are -20%/+25% rate sensitivity, not observed market range.</x:v>
      </x:c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48" customHeight="1">
      <x:c r="A326" s="1" t="str">
        <x:v>EXT-092</x:v>
      </x:c>
      <x:c r="B326" s="1" t="str">
        <x:v>Other business facets</x:v>
      </x:c>
      <x:c r="C326" s="18" t="str">
        <x:v>Shipping carton</x:v>
      </x:c>
      <x:c r="D326" s="18" t="str">
        <x:v>box</x:v>
      </x:c>
      <x:c r="E326" s="32" t="n">
        <x:v>400</x:v>
      </x:c>
      <x:c r="F326" s="33" t="n">
        <x:v>1</x:v>
      </x:c>
      <x:c r="G326" s="33" t="n">
        <x:v>1.25</x:v>
      </x:c>
      <x:c r="H326" s="34" t="str">
        <x:v>recurring</x:v>
      </x:c>
      <x:c r="I326" s="33" t="n">
        <x:v>1.5625</x:v>
      </x:c>
      <x:c r="J326" s="35" t="str">
        <x:v>Planning allowance; written quote needed</x:v>
      </x:c>
      <x:c r="K326" s="36" t="str">
        <x:v>ALLOW</x:v>
      </x:c>
      <x:c r="L326" s="37" t="n">
        <x:f>ROUND(E326*F326,2)</x:f>
        <x:v>400</x:v>
      </x:c>
      <x:c r="M326" s="37" t="n">
        <x:f>ROUND(E326*G326,2)</x:f>
        <x:v>500</x:v>
      </x:c>
      <x:c r="N326" s="37" t="n">
        <x:f>ROUND(E326*I326,2)</x:f>
        <x:v>625</x:v>
      </x:c>
      <x:c r="O326" s="18" t="str">
        <x:v>Assumed usage/quantity; vendor pricing only verified for specific named unit. Taxes, freight and overhead listed separately. Low/high are -20%/+25% rate sensitivity, not observed market range.</x:v>
      </x:c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48" customHeight="1">
      <x:c r="A327" s="1" t="str">
        <x:v>EXT-093</x:v>
      </x:c>
      <x:c r="B327" s="1" t="str">
        <x:v>Other business facets</x:v>
      </x:c>
      <x:c r="C327" s="18" t="str">
        <x:v>Protective packing material</x:v>
      </x:c>
      <x:c r="D327" s="18" t="str">
        <x:v>fill</x:v>
      </x:c>
      <x:c r="E327" s="32" t="n">
        <x:v>400</x:v>
      </x:c>
      <x:c r="F327" s="33" t="n">
        <x:v>0.4</x:v>
      </x:c>
      <x:c r="G327" s="33" t="n">
        <x:v>0.5</x:v>
      </x:c>
      <x:c r="H327" s="34" t="str">
        <x:v>recurring</x:v>
      </x:c>
      <x:c r="I327" s="33" t="n">
        <x:v>0.625</x:v>
      </x:c>
      <x:c r="J327" s="35" t="str">
        <x:v>Planning allowance; written quote needed</x:v>
      </x:c>
      <x:c r="K327" s="36" t="str">
        <x:v>ALLOW</x:v>
      </x:c>
      <x:c r="L327" s="37" t="n">
        <x:f>ROUND(E327*F327,2)</x:f>
        <x:v>160</x:v>
      </x:c>
      <x:c r="M327" s="37" t="n">
        <x:f>ROUND(E327*G327,2)</x:f>
        <x:v>200</x:v>
      </x:c>
      <x:c r="N327" s="37" t="n">
        <x:f>ROUND(E327*I327,2)</x:f>
        <x:v>250</x:v>
      </x:c>
      <x:c r="O327" s="18" t="str">
        <x:v>Assumed usage/quantity; vendor pricing only verified for specific named unit. Taxes, freight and overhead listed separately. Low/high are -20%/+25% rate sensitivity, not observed market range.</x:v>
      </x:c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48" customHeight="1">
      <x:c r="A328" s="1" t="str">
        <x:v>EXT-094</x:v>
      </x:c>
      <x:c r="B328" s="1" t="str">
        <x:v>Other business facets</x:v>
      </x:c>
      <x:c r="C328" s="18" t="str">
        <x:v>Packing label</x:v>
      </x:c>
      <x:c r="D328" s="18" t="str">
        <x:v>label</x:v>
      </x:c>
      <x:c r="E328" s="32" t="n">
        <x:v>400</x:v>
      </x:c>
      <x:c r="F328" s="33" t="n">
        <x:v>0.08</x:v>
      </x:c>
      <x:c r="G328" s="33" t="n">
        <x:v>0.1</x:v>
      </x:c>
      <x:c r="H328" s="34" t="str">
        <x:v>recurring</x:v>
      </x:c>
      <x:c r="I328" s="33" t="n">
        <x:v>0.125</x:v>
      </x:c>
      <x:c r="J328" s="35" t="str">
        <x:v>Planning allowance; written quote needed</x:v>
      </x:c>
      <x:c r="K328" s="36" t="str">
        <x:v>ALLOW</x:v>
      </x:c>
      <x:c r="L328" s="37" t="n">
        <x:f>ROUND(E328*F328,2)</x:f>
        <x:v>32</x:v>
      </x:c>
      <x:c r="M328" s="37" t="n">
        <x:f>ROUND(E328*G328,2)</x:f>
        <x:v>40</x:v>
      </x:c>
      <x:c r="N328" s="37" t="n">
        <x:f>ROUND(E328*I328,2)</x:f>
        <x:v>50</x:v>
      </x:c>
      <x:c r="O328" s="18" t="str">
        <x:v>Assumed usage/quantity; vendor pricing only verified for specific named unit. Taxes, freight and overhead listed separately. Low/high are -20%/+25% rate sensitivity, not observed market range.</x:v>
      </x:c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48" customHeight="1">
      <x:c r="A329" s="1" t="str">
        <x:v>EXT-095</x:v>
      </x:c>
      <x:c r="B329" s="1" t="str">
        <x:v>Other business facets</x:v>
      </x:c>
      <x:c r="C329" s="18" t="str">
        <x:v>Parcel postage by weight and zone</x:v>
      </x:c>
      <x:c r="D329" s="18" t="str">
        <x:v>parcel</x:v>
      </x:c>
      <x:c r="E329" s="32" t="n">
        <x:v>400</x:v>
      </x:c>
      <x:c r="F329" s="33" t="n">
        <x:v>6.4</x:v>
      </x:c>
      <x:c r="G329" s="33" t="n">
        <x:v>8</x:v>
      </x:c>
      <x:c r="H329" s="34" t="str">
        <x:v>recurring</x:v>
      </x:c>
      <x:c r="I329" s="33" t="n">
        <x:v>10</x:v>
      </x:c>
      <x:c r="J329" s="35" t="str">
        <x:v>Planning allowance; written quote needed</x:v>
      </x:c>
      <x:c r="K329" s="36" t="str">
        <x:v>ALLOW</x:v>
      </x:c>
      <x:c r="L329" s="37" t="n">
        <x:f>ROUND(E329*F329,2)</x:f>
        <x:v>2560</x:v>
      </x:c>
      <x:c r="M329" s="37" t="n">
        <x:f>ROUND(E329*G329,2)</x:f>
        <x:v>3200</x:v>
      </x:c>
      <x:c r="N329" s="37" t="n">
        <x:f>ROUND(E329*I329,2)</x:f>
        <x:v>4000</x:v>
      </x:c>
      <x:c r="O329" s="18" t="str">
        <x:v>Assumed usage/quantity; vendor pricing only verified for specific named unit. Taxes, freight and overhead listed separately. Low/high are -20%/+25% rate sensitivity, not observed market range.</x:v>
      </x:c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48" customHeight="1">
      <x:c r="A330" s="1" t="str">
        <x:v>EXT-096</x:v>
      </x:c>
      <x:c r="B330" s="1" t="str">
        <x:v>Other business facets</x:v>
      </x:c>
      <x:c r="C330" s="18" t="str">
        <x:v>Returns postage</x:v>
      </x:c>
      <x:c r="D330" s="18" t="str">
        <x:v>return parcel</x:v>
      </x:c>
      <x:c r="E330" s="32" t="n">
        <x:v>20</x:v>
      </x:c>
      <x:c r="F330" s="33" t="n">
        <x:v>6.4</x:v>
      </x:c>
      <x:c r="G330" s="33" t="n">
        <x:v>8</x:v>
      </x:c>
      <x:c r="H330" s="34" t="str">
        <x:v>recurring</x:v>
      </x:c>
      <x:c r="I330" s="33" t="n">
        <x:v>10</x:v>
      </x:c>
      <x:c r="J330" s="35" t="str">
        <x:v>Planning allowance; written quote needed</x:v>
      </x:c>
      <x:c r="K330" s="36" t="str">
        <x:v>ALLOW</x:v>
      </x:c>
      <x:c r="L330" s="37" t="n">
        <x:f>ROUND(E330*F330,2)</x:f>
        <x:v>128</x:v>
      </x:c>
      <x:c r="M330" s="37" t="n">
        <x:f>ROUND(E330*G330,2)</x:f>
        <x:v>160</x:v>
      </x:c>
      <x:c r="N330" s="37" t="n">
        <x:f>ROUND(E330*I330,2)</x:f>
        <x:v>200</x:v>
      </x:c>
      <x:c r="O330" s="18" t="str">
        <x:v>Assumed usage/quantity; vendor pricing only verified for specific named unit. Taxes, freight and overhead listed separately. Low/high are -20%/+25% rate sensitivity, not observed market range.</x:v>
      </x:c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48" customHeight="1">
      <x:c r="A331" s="1" t="str">
        <x:v>EXT-097</x:v>
      </x:c>
      <x:c r="B331" s="1" t="str">
        <x:v>Other business facets</x:v>
      </x:c>
      <x:c r="C331" s="18" t="str">
        <x:v>Returns inspection and restocking</x:v>
      </x:c>
      <x:c r="D331" s="18" t="str">
        <x:v>inspection</x:v>
      </x:c>
      <x:c r="E331" s="32" t="n">
        <x:v>20</x:v>
      </x:c>
      <x:c r="F331" s="33" t="n">
        <x:v>3.2</x:v>
      </x:c>
      <x:c r="G331" s="33" t="n">
        <x:v>4</x:v>
      </x:c>
      <x:c r="H331" s="34" t="str">
        <x:v>recurring</x:v>
      </x:c>
      <x:c r="I331" s="33" t="n">
        <x:v>5</x:v>
      </x:c>
      <x:c r="J331" s="35" t="str">
        <x:v>Planning allowance; written quote needed</x:v>
      </x:c>
      <x:c r="K331" s="36" t="str">
        <x:v>ALLOW</x:v>
      </x:c>
      <x:c r="L331" s="37" t="n">
        <x:f>ROUND(E331*F331,2)</x:f>
        <x:v>64</x:v>
      </x:c>
      <x:c r="M331" s="37" t="n">
        <x:f>ROUND(E331*G331,2)</x:f>
        <x:v>80</x:v>
      </x:c>
      <x:c r="N331" s="37" t="n">
        <x:f>ROUND(E331*I331,2)</x:f>
        <x:v>100</x:v>
      </x:c>
      <x:c r="O331" s="18" t="str">
        <x:v>Assumed usage/quantity; vendor pricing only verified for specific named unit. Taxes, freight and overhead listed separately. Low/high are -20%/+25% rate sensitivity, not observed market range.</x:v>
      </x:c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48" customHeight="1">
      <x:c r="A332" s="1" t="str">
        <x:v>EXT-098</x:v>
      </x:c>
      <x:c r="B332" s="1" t="str">
        <x:v>Other business facets</x:v>
      </x:c>
      <x:c r="C332" s="18" t="str">
        <x:v>Damaged-goods write-off</x:v>
      </x:c>
      <x:c r="D332" s="18" t="str">
        <x:v>damage allowance</x:v>
      </x:c>
      <x:c r="E332" s="32" t="n">
        <x:v>1</x:v>
      </x:c>
      <x:c r="F332" s="33" t="n">
        <x:v>400</x:v>
      </x:c>
      <x:c r="G332" s="33" t="n">
        <x:v>500</x:v>
      </x:c>
      <x:c r="H332" s="34" t="str">
        <x:v>recurring</x:v>
      </x:c>
      <x:c r="I332" s="33" t="n">
        <x:v>625</x:v>
      </x:c>
      <x:c r="J332" s="35" t="str">
        <x:v>Planning allowance; written quote needed</x:v>
      </x:c>
      <x:c r="K332" s="36" t="str">
        <x:v>ALLOW</x:v>
      </x:c>
      <x:c r="L332" s="37" t="n">
        <x:f>ROUND(E332*F332,2)</x:f>
        <x:v>400</x:v>
      </x:c>
      <x:c r="M332" s="37" t="n">
        <x:f>ROUND(E332*G332,2)</x:f>
        <x:v>500</x:v>
      </x:c>
      <x:c r="N332" s="37" t="n">
        <x:f>ROUND(E332*I332,2)</x:f>
        <x:v>625</x:v>
      </x:c>
      <x:c r="O332" s="18" t="str">
        <x:v>Assumed usage/quantity; vendor pricing only verified for specific named unit. Taxes, freight and overhead listed separately. Low/high are -20%/+25% rate sensitivity, not observed market range.</x:v>
      </x:c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48" customHeight="1">
      <x:c r="A333" s="1" t="str">
        <x:v>EXT-099</x:v>
      </x:c>
      <x:c r="B333" s="1" t="str">
        <x:v>Other business facets</x:v>
      </x:c>
      <x:c r="C333" s="18" t="str">
        <x:v>Product liability premium</x:v>
      </x:c>
      <x:c r="D333" s="18" t="str">
        <x:v>product liability premium</x:v>
      </x:c>
      <x:c r="E333" s="32" t="n">
        <x:v>1</x:v>
      </x:c>
      <x:c r="F333" s="33" t="n">
        <x:v>2000</x:v>
      </x:c>
      <x:c r="G333" s="33" t="n">
        <x:v>2500</x:v>
      </x:c>
      <x:c r="H333" s="34" t="str">
        <x:v>recurring</x:v>
      </x:c>
      <x:c r="I333" s="33" t="n">
        <x:v>3125</x:v>
      </x:c>
      <x:c r="J333" s="35" t="str">
        <x:v>Planning allowance; written quote needed</x:v>
      </x:c>
      <x:c r="K333" s="36" t="str">
        <x:v>INS</x:v>
      </x:c>
      <x:c r="L333" s="37" t="n">
        <x:f>ROUND(E333*F333,2)</x:f>
        <x:v>2000</x:v>
      </x:c>
      <x:c r="M333" s="37" t="n">
        <x:f>ROUND(E333*G333,2)</x:f>
        <x:v>2500</x:v>
      </x:c>
      <x:c r="N333" s="37" t="n">
        <x:f>ROUND(E333*I333,2)</x:f>
        <x:v>3125</x:v>
      </x:c>
      <x:c r="O333" s="18" t="str">
        <x:v>Assumed usage/quantity; vendor pricing only verified for specific named unit. Taxes, freight and overhead listed separately. Low/high are -20%/+25% rate sensitivity, not observed market range.</x:v>
      </x:c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48" customHeight="1">
      <x:c r="A334" s="1" t="str">
        <x:v>EXT-100</x:v>
      </x:c>
      <x:c r="B334" s="1" t="str">
        <x:v>Other business facets</x:v>
      </x:c>
      <x:c r="C334" s="18" t="str">
        <x:v>Product recall planning and reserve</x:v>
      </x:c>
      <x:c r="D334" s="18" t="str">
        <x:v>recall reserve</x:v>
      </x:c>
      <x:c r="E334" s="32" t="n">
        <x:v>1</x:v>
      </x:c>
      <x:c r="F334" s="33" t="n">
        <x:v>2400</x:v>
      </x:c>
      <x:c r="G334" s="33" t="n">
        <x:v>3000</x:v>
      </x:c>
      <x:c r="H334" s="34" t="str">
        <x:v>reserve</x:v>
      </x:c>
      <x:c r="I334" s="33" t="n">
        <x:v>3750</x:v>
      </x:c>
      <x:c r="J334" s="35" t="str">
        <x:v>Planning allowance; written quote needed</x:v>
      </x:c>
      <x:c r="K334" s="36" t="str">
        <x:v>ALLOW</x:v>
      </x:c>
      <x:c r="L334" s="37" t="n">
        <x:f>ROUND(E334*F334,2)</x:f>
        <x:v>2400</x:v>
      </x:c>
      <x:c r="M334" s="37" t="n">
        <x:f>ROUND(E334*G334,2)</x:f>
        <x:v>3000</x:v>
      </x:c>
      <x:c r="N334" s="37" t="n">
        <x:f>ROUND(E334*I334,2)</x:f>
        <x:v>3750</x:v>
      </x:c>
      <x:c r="O334" s="18" t="str">
        <x:v>Assumed usage/quantity; vendor pricing only verified for specific named unit. Taxes, freight and overhead listed separately. Low/high are -20%/+25% rate sensitivity, not observed market range.</x:v>
      </x:c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48" customHeight="1">
      <x:c r="A335" s="1" t="str">
        <x:v>EXT-101</x:v>
      </x:c>
      <x:c r="B335" s="1" t="str">
        <x:v>Other business facets</x:v>
      </x:c>
      <x:c r="C335" s="18" t="str">
        <x:v>Tablet hardware purchase</x:v>
      </x:c>
      <x:c r="D335" s="18" t="str">
        <x:v>tablet</x:v>
      </x:c>
      <x:c r="E335" s="32" t="n">
        <x:v>50</x:v>
      </x:c>
      <x:c r="F335" s="33" t="n">
        <x:v>191.99</x:v>
      </x:c>
      <x:c r="G335" s="33" t="n">
        <x:v>191.99</x:v>
      </x:c>
      <x:c r="H335" s="34" t="str">
        <x:v>inventory</x:v>
      </x:c>
      <x:c r="I335" s="33" t="n">
        <x:v>191.99</x:v>
      </x:c>
      <x:c r="J335" s="35" t="str">
        <x:v>Published rate × assumed quantity</x:v>
      </x:c>
      <x:c r="K335" s="36" t="str">
        <x:v>TAB</x:v>
      </x:c>
      <x:c r="L335" s="37" t="n">
        <x:f>ROUND(E335*F335,2)</x:f>
        <x:v>9599.5</x:v>
      </x:c>
      <x:c r="M335" s="37" t="n">
        <x:f>ROUND(E335*G335,2)</x:f>
        <x:v>9599.5</x:v>
      </x:c>
      <x:c r="N335" s="37" t="n">
        <x:f>ROUND(E335*I335,2)</x:f>
        <x:v>9599.5</x:v>
      </x:c>
      <x:c r="O335" s="18" t="str">
        <x:v>Assumed usage/quantity; vendor pricing only verified for specific named unit. Taxes, freight and overhead listed separately.</x:v>
      </x:c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48" customHeight="1">
      <x:c r="A336" s="1" t="str">
        <x:v>EXT-102</x:v>
      </x:c>
      <x:c r="B336" s="1" t="str">
        <x:v>Other business facets</x:v>
      </x:c>
      <x:c r="C336" s="18" t="str">
        <x:v>Tablet shockproof case</x:v>
      </x:c>
      <x:c r="D336" s="18" t="str">
        <x:v>case</x:v>
      </x:c>
      <x:c r="E336" s="32" t="n">
        <x:v>50</x:v>
      </x:c>
      <x:c r="F336" s="33" t="n">
        <x:v>14.4</x:v>
      </x:c>
      <x:c r="G336" s="33" t="n">
        <x:v>18</x:v>
      </x:c>
      <x:c r="H336" s="34" t="str">
        <x:v>inventory</x:v>
      </x:c>
      <x:c r="I336" s="33" t="n">
        <x:v>22.5</x:v>
      </x:c>
      <x:c r="J336" s="35" t="str">
        <x:v>Planning allowance; written quote needed</x:v>
      </x:c>
      <x:c r="K336" s="36" t="str">
        <x:v>ALLOW</x:v>
      </x:c>
      <x:c r="L336" s="37" t="n">
        <x:f>ROUND(E336*F336,2)</x:f>
        <x:v>720</x:v>
      </x:c>
      <x:c r="M336" s="37" t="n">
        <x:f>ROUND(E336*G336,2)</x:f>
        <x:v>900</x:v>
      </x:c>
      <x:c r="N336" s="37" t="n">
        <x:f>ROUND(E336*I336,2)</x:f>
        <x:v>1125</x:v>
      </x:c>
      <x:c r="O336" s="18" t="str">
        <x:v>Assumed usage/quantity; vendor pricing only verified for specific named unit. Taxes, freight and overhead listed separately. Low/high are -20%/+25% rate sensitivity, not observed market range.</x:v>
      </x:c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48" customHeight="1">
      <x:c r="A337" s="1" t="str">
        <x:v>EXT-103</x:v>
      </x:c>
      <x:c r="B337" s="1" t="str">
        <x:v>Other business facets</x:v>
      </x:c>
      <x:c r="C337" s="18" t="str">
        <x:v>Character case printing</x:v>
      </x:c>
      <x:c r="D337" s="18" t="str">
        <x:v>case printing</x:v>
      </x:c>
      <x:c r="E337" s="32" t="n">
        <x:v>50</x:v>
      </x:c>
      <x:c r="F337" s="33" t="n">
        <x:v>4.8</x:v>
      </x:c>
      <x:c r="G337" s="33" t="n">
        <x:v>6</x:v>
      </x:c>
      <x:c r="H337" s="34" t="str">
        <x:v>inventory</x:v>
      </x:c>
      <x:c r="I337" s="33" t="n">
        <x:v>7.5</x:v>
      </x:c>
      <x:c r="J337" s="35" t="str">
        <x:v>Planning allowance; written quote needed</x:v>
      </x:c>
      <x:c r="K337" s="36" t="str">
        <x:v>ALLOW</x:v>
      </x:c>
      <x:c r="L337" s="37" t="n">
        <x:f>ROUND(E337*F337,2)</x:f>
        <x:v>240</x:v>
      </x:c>
      <x:c r="M337" s="37" t="n">
        <x:f>ROUND(E337*G337,2)</x:f>
        <x:v>300</x:v>
      </x:c>
      <x:c r="N337" s="37" t="n">
        <x:f>ROUND(E337*I337,2)</x:f>
        <x:v>375</x:v>
      </x:c>
      <x:c r="O337" s="18" t="str">
        <x:v>Assumed usage/quantity; vendor pricing only verified for specific named unit. Taxes, freight and overhead listed separately. Low/high are -20%/+25% rate sensitivity, not observed market range.</x:v>
      </x:c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48" customHeight="1">
      <x:c r="A338" s="1" t="str">
        <x:v>EXT-104</x:v>
      </x:c>
      <x:c r="B338" s="1" t="str">
        <x:v>Other business facets</x:v>
      </x:c>
      <x:c r="C338" s="18" t="str">
        <x:v>Screen protector</x:v>
      </x:c>
      <x:c r="D338" s="18" t="str">
        <x:v>screen protector</x:v>
      </x:c>
      <x:c r="E338" s="32" t="n">
        <x:v>50</x:v>
      </x:c>
      <x:c r="F338" s="33" t="n">
        <x:v>3.2</x:v>
      </x:c>
      <x:c r="G338" s="33" t="n">
        <x:v>4</x:v>
      </x:c>
      <x:c r="H338" s="34" t="str">
        <x:v>inventory</x:v>
      </x:c>
      <x:c r="I338" s="33" t="n">
        <x:v>5</x:v>
      </x:c>
      <x:c r="J338" s="35" t="str">
        <x:v>Planning allowance; written quote needed</x:v>
      </x:c>
      <x:c r="K338" s="36" t="str">
        <x:v>ALLOW</x:v>
      </x:c>
      <x:c r="L338" s="37" t="n">
        <x:f>ROUND(E338*F338,2)</x:f>
        <x:v>160</x:v>
      </x:c>
      <x:c r="M338" s="37" t="n">
        <x:f>ROUND(E338*G338,2)</x:f>
        <x:v>200</x:v>
      </x:c>
      <x:c r="N338" s="37" t="n">
        <x:f>ROUND(E338*I338,2)</x:f>
        <x:v>250</x:v>
      </x:c>
      <x:c r="O338" s="18" t="str">
        <x:v>Assumed usage/quantity; vendor pricing only verified for specific named unit. Taxes, freight and overhead listed separately. Low/high are -20%/+25% rate sensitivity, not observed market range.</x:v>
      </x:c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48" customHeight="1">
      <x:c r="A339" s="1" t="str">
        <x:v>EXT-105</x:v>
      </x:c>
      <x:c r="B339" s="1" t="str">
        <x:v>Other business facets</x:v>
      </x:c>
      <x:c r="C339" s="18" t="str">
        <x:v>Spare charger</x:v>
      </x:c>
      <x:c r="D339" s="18" t="str">
        <x:v>spare charger</x:v>
      </x:c>
      <x:c r="E339" s="32" t="n">
        <x:v>10</x:v>
      </x:c>
      <x:c r="F339" s="33" t="n">
        <x:v>12</x:v>
      </x:c>
      <x:c r="G339" s="33" t="n">
        <x:v>15</x:v>
      </x:c>
      <x:c r="H339" s="34" t="str">
        <x:v>inventory</x:v>
      </x:c>
      <x:c r="I339" s="33" t="n">
        <x:v>18.75</x:v>
      </x:c>
      <x:c r="J339" s="35" t="str">
        <x:v>Planning allowance; written quote needed</x:v>
      </x:c>
      <x:c r="K339" s="36" t="str">
        <x:v>ALLOW</x:v>
      </x:c>
      <x:c r="L339" s="37" t="n">
        <x:f>ROUND(E339*F339,2)</x:f>
        <x:v>120</x:v>
      </x:c>
      <x:c r="M339" s="37" t="n">
        <x:f>ROUND(E339*G339,2)</x:f>
        <x:v>150</x:v>
      </x:c>
      <x:c r="N339" s="37" t="n">
        <x:f>ROUND(E339*I339,2)</x:f>
        <x:v>187.5</x:v>
      </x:c>
      <x:c r="O339" s="18" t="str">
        <x:v>Assumed usage/quantity; vendor pricing only verified for specific named unit. Taxes, freight and overhead listed separately. Low/high are -20%/+25% rate sensitivity, not observed market range.</x:v>
      </x:c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48" customHeight="1">
      <x:c r="A340" s="1" t="str">
        <x:v>EXT-106</x:v>
      </x:c>
      <x:c r="B340" s="1" t="str">
        <x:v>Other business facets</x:v>
      </x:c>
      <x:c r="C340" s="18" t="str">
        <x:v>Device management subscription</x:v>
      </x:c>
      <x:c r="D340" s="18" t="str">
        <x:v>device-month</x:v>
      </x:c>
      <x:c r="E340" s="32" t="n">
        <x:v>600</x:v>
      </x:c>
      <x:c r="F340" s="33" t="n">
        <x:v>3.5</x:v>
      </x:c>
      <x:c r="G340" s="33" t="n">
        <x:v>3.5</x:v>
      </x:c>
      <x:c r="H340" s="34" t="str">
        <x:v>recurring</x:v>
      </x:c>
      <x:c r="I340" s="33" t="n">
        <x:v>3.5</x:v>
      </x:c>
      <x:c r="J340" s="35" t="str">
        <x:v>Published rate × assumed quantity</x:v>
      </x:c>
      <x:c r="K340" s="36" t="str">
        <x:v>MDM</x:v>
      </x:c>
      <x:c r="L340" s="37" t="n">
        <x:f>ROUND(E340*F340,2)</x:f>
        <x:v>2100</x:v>
      </x:c>
      <x:c r="M340" s="37" t="n">
        <x:f>ROUND(E340*G340,2)</x:f>
        <x:v>2100</x:v>
      </x:c>
      <x:c r="N340" s="37" t="n">
        <x:f>ROUND(E340*I340,2)</x:f>
        <x:v>2100</x:v>
      </x:c>
      <x:c r="O340" s="18" t="str">
        <x:v>Assumed usage/quantity; vendor pricing only verified for specific named unit. Taxes, freight and overhead listed separately.</x:v>
      </x:c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48" customHeight="1">
      <x:c r="A341" s="1" t="str">
        <x:v>EXT-107</x:v>
      </x:c>
      <x:c r="B341" s="1" t="str">
        <x:v>Other business facets</x:v>
      </x:c>
      <x:c r="C341" s="18" t="str">
        <x:v>Device enrollment and kiosk setup labor</x:v>
      </x:c>
      <x:c r="D341" s="18" t="str">
        <x:v>provisioning hour</x:v>
      </x:c>
      <x:c r="E341" s="32" t="n">
        <x:v>25</x:v>
      </x:c>
      <x:c r="F341" s="33" t="n">
        <x:v>28</x:v>
      </x:c>
      <x:c r="G341" s="33" t="n">
        <x:v>35</x:v>
      </x:c>
      <x:c r="H341" s="34" t="str">
        <x:v>one_time</x:v>
      </x:c>
      <x:c r="I341" s="33" t="n">
        <x:v>43.75</x:v>
      </x:c>
      <x:c r="J341" s="35" t="str">
        <x:v>Planning allowance; written quote needed</x:v>
      </x:c>
      <x:c r="K341" s="36" t="str">
        <x:v>ALLOW</x:v>
      </x:c>
      <x:c r="L341" s="37" t="n">
        <x:f>ROUND(E341*F341,2)</x:f>
        <x:v>700</x:v>
      </x:c>
      <x:c r="M341" s="37" t="n">
        <x:f>ROUND(E341*G341,2)</x:f>
        <x:v>875</x:v>
      </x:c>
      <x:c r="N341" s="37" t="n">
        <x:f>ROUND(E341*I341,2)</x:f>
        <x:v>1093.75</x:v>
      </x:c>
      <x:c r="O341" s="18" t="str">
        <x:v>Assumed usage/quantity; vendor pricing only verified for specific named unit. Taxes, freight and overhead listed separately. Low/high are -20%/+25% rate sensitivity, not observed market range.</x:v>
      </x:c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48" customHeight="1">
      <x:c r="A342" s="1" t="str">
        <x:v>EXT-110</x:v>
      </x:c>
      <x:c r="B342" s="1" t="str">
        <x:v>Other business facets</x:v>
      </x:c>
      <x:c r="C342" s="18" t="str">
        <x:v>Packaging box</x:v>
      </x:c>
      <x:c r="D342" s="18" t="str">
        <x:v>box</x:v>
      </x:c>
      <x:c r="E342" s="32" t="n">
        <x:v>50</x:v>
      </x:c>
      <x:c r="F342" s="33" t="n">
        <x:v>2</x:v>
      </x:c>
      <x:c r="G342" s="33" t="n">
        <x:v>2.5</x:v>
      </x:c>
      <x:c r="H342" s="34" t="str">
        <x:v>inventory</x:v>
      </x:c>
      <x:c r="I342" s="33" t="n">
        <x:v>3.125</x:v>
      </x:c>
      <x:c r="J342" s="35" t="str">
        <x:v>Planning allowance; written quote needed</x:v>
      </x:c>
      <x:c r="K342" s="36" t="str">
        <x:v>ALLOW</x:v>
      </x:c>
      <x:c r="L342" s="37" t="n">
        <x:f>ROUND(E342*F342,2)</x:f>
        <x:v>100</x:v>
      </x:c>
      <x:c r="M342" s="37" t="n">
        <x:f>ROUND(E342*G342,2)</x:f>
        <x:v>125</x:v>
      </x:c>
      <x:c r="N342" s="37" t="n">
        <x:f>ROUND(E342*I342,2)</x:f>
        <x:v>156.25</x:v>
      </x:c>
      <x:c r="O342" s="18" t="str">
        <x:v>Assumed usage/quantity; vendor pricing only verified for specific named unit. Taxes, freight and overhead listed separately. Low/high are -20%/+25% rate sensitivity, not observed market range.</x:v>
      </x:c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48" customHeight="1">
      <x:c r="A343" s="1" t="str">
        <x:v>EXT-111</x:v>
      </x:c>
      <x:c r="B343" s="1" t="str">
        <x:v>Other business facets</x:v>
      </x:c>
      <x:c r="C343" s="18" t="str">
        <x:v>English quick-start card</x:v>
      </x:c>
      <x:c r="D343" s="18" t="str">
        <x:v>EN card</x:v>
      </x:c>
      <x:c r="E343" s="32" t="n">
        <x:v>50</x:v>
      </x:c>
      <x:c r="F343" s="33" t="n">
        <x:v>0.4</x:v>
      </x:c>
      <x:c r="G343" s="33" t="n">
        <x:v>0.5</x:v>
      </x:c>
      <x:c r="H343" s="34" t="str">
        <x:v>inventory</x:v>
      </x:c>
      <x:c r="I343" s="33" t="n">
        <x:v>0.625</x:v>
      </x:c>
      <x:c r="J343" s="35" t="str">
        <x:v>Planning allowance; written quote needed</x:v>
      </x:c>
      <x:c r="K343" s="36" t="str">
        <x:v>ALLOW</x:v>
      </x:c>
      <x:c r="L343" s="37" t="n">
        <x:f>ROUND(E343*F343,2)</x:f>
        <x:v>20</x:v>
      </x:c>
      <x:c r="M343" s="37" t="n">
        <x:f>ROUND(E343*G343,2)</x:f>
        <x:v>25</x:v>
      </x:c>
      <x:c r="N343" s="37" t="n">
        <x:f>ROUND(E343*I343,2)</x:f>
        <x:v>31.25</x:v>
      </x:c>
      <x:c r="O343" s="18" t="str">
        <x:v>Assumed usage/quantity; vendor pricing only verified for specific named unit. Taxes, freight and overhead listed separately. Low/high are -20%/+25% rate sensitivity, not observed market range.</x:v>
      </x:c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48" customHeight="1">
      <x:c r="A344" s="1" t="str">
        <x:v>EXT-112</x:v>
      </x:c>
      <x:c r="B344" s="1" t="str">
        <x:v>Other business facets</x:v>
      </x:c>
      <x:c r="C344" s="18" t="str">
        <x:v>Spanish quick-start card</x:v>
      </x:c>
      <x:c r="D344" s="18" t="str">
        <x:v>ES card</x:v>
      </x:c>
      <x:c r="E344" s="32" t="n">
        <x:v>50</x:v>
      </x:c>
      <x:c r="F344" s="33" t="n">
        <x:v>0.4</x:v>
      </x:c>
      <x:c r="G344" s="33" t="n">
        <x:v>0.5</x:v>
      </x:c>
      <x:c r="H344" s="34" t="str">
        <x:v>inventory</x:v>
      </x:c>
      <x:c r="I344" s="33" t="n">
        <x:v>0.625</x:v>
      </x:c>
      <x:c r="J344" s="35" t="str">
        <x:v>Planning allowance; written quote needed</x:v>
      </x:c>
      <x:c r="K344" s="36" t="str">
        <x:v>ALLOW</x:v>
      </x:c>
      <x:c r="L344" s="37" t="n">
        <x:f>ROUND(E344*F344,2)</x:f>
        <x:v>20</x:v>
      </x:c>
      <x:c r="M344" s="37" t="n">
        <x:f>ROUND(E344*G344,2)</x:f>
        <x:v>25</x:v>
      </x:c>
      <x:c r="N344" s="37" t="n">
        <x:f>ROUND(E344*I344,2)</x:f>
        <x:v>31.25</x:v>
      </x:c>
      <x:c r="O344" s="18" t="str">
        <x:v>Assumed usage/quantity; vendor pricing only verified for specific named unit. Taxes, freight and overhead listed separately. Low/high are -20%/+25% rate sensitivity, not observed market range.</x:v>
      </x:c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48" customHeight="1">
      <x:c r="A345" s="1" t="str">
        <x:v>EXT-113</x:v>
      </x:c>
      <x:c r="B345" s="1" t="str">
        <x:v>Other business facets</x:v>
      </x:c>
      <x:c r="C345" s="18" t="str">
        <x:v>Outbound device shipping</x:v>
      </x:c>
      <x:c r="D345" s="18" t="str">
        <x:v>device shipment</x:v>
      </x:c>
      <x:c r="E345" s="32" t="n">
        <x:v>50</x:v>
      </x:c>
      <x:c r="F345" s="33" t="n">
        <x:v>9.6</x:v>
      </x:c>
      <x:c r="G345" s="33" t="n">
        <x:v>12</x:v>
      </x:c>
      <x:c r="H345" s="34" t="str">
        <x:v>one_time</x:v>
      </x:c>
      <x:c r="I345" s="33" t="n">
        <x:v>15</x:v>
      </x:c>
      <x:c r="J345" s="35" t="str">
        <x:v>Planning allowance; written quote needed</x:v>
      </x:c>
      <x:c r="K345" s="36" t="str">
        <x:v>ALLOW</x:v>
      </x:c>
      <x:c r="L345" s="37" t="n">
        <x:f>ROUND(E345*F345,2)</x:f>
        <x:v>480</x:v>
      </x:c>
      <x:c r="M345" s="37" t="n">
        <x:f>ROUND(E345*G345,2)</x:f>
        <x:v>600</x:v>
      </x:c>
      <x:c r="N345" s="37" t="n">
        <x:f>ROUND(E345*I345,2)</x:f>
        <x:v>750</x:v>
      </x:c>
      <x:c r="O345" s="18" t="str">
        <x:v>Assumed usage/quantity; vendor pricing only verified for specific named unit. Taxes, freight and overhead listed separately. Low/high are -20%/+25% rate sensitivity, not observed market range.</x:v>
      </x:c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48" customHeight="1">
      <x:c r="A346" s="1" t="str">
        <x:v>EXT-116</x:v>
      </x:c>
      <x:c r="B346" s="1" t="str">
        <x:v>Other business facets</x:v>
      </x:c>
      <x:c r="C346" s="18" t="str">
        <x:v>Inventory asset tagging</x:v>
      </x:c>
      <x:c r="D346" s="18" t="str">
        <x:v>asset label</x:v>
      </x:c>
      <x:c r="E346" s="32" t="n">
        <x:v>50</x:v>
      </x:c>
      <x:c r="F346" s="33" t="n">
        <x:v>0.24</x:v>
      </x:c>
      <x:c r="G346" s="33" t="n">
        <x:v>0.3</x:v>
      </x:c>
      <x:c r="H346" s="34" t="str">
        <x:v>inventory</x:v>
      </x:c>
      <x:c r="I346" s="33" t="n">
        <x:v>0.375</x:v>
      </x:c>
      <x:c r="J346" s="35" t="str">
        <x:v>Planning allowance; written quote needed</x:v>
      </x:c>
      <x:c r="K346" s="36" t="str">
        <x:v>ALLOW</x:v>
      </x:c>
      <x:c r="L346" s="37" t="n">
        <x:f>ROUND(E346*F346,2)</x:f>
        <x:v>12</x:v>
      </x:c>
      <x:c r="M346" s="37" t="n">
        <x:f>ROUND(E346*G346,2)</x:f>
        <x:v>15</x:v>
      </x:c>
      <x:c r="N346" s="37" t="n">
        <x:f>ROUND(E346*I346,2)</x:f>
        <x:v>18.75</x:v>
      </x:c>
      <x:c r="O346" s="18" t="str">
        <x:v>Assumed usage/quantity; vendor pricing only verified for specific named unit. Taxes, freight and overhead listed separately. Low/high are -20%/+25% rate sensitivity, not observed market range.</x:v>
      </x:c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48" customHeight="1">
      <x:c r="A347" s="1" t="str">
        <x:v>EXT-117</x:v>
      </x:c>
      <x:c r="B347" s="1" t="str">
        <x:v>Other business facets</x:v>
      </x:c>
      <x:c r="C347" s="18" t="str">
        <x:v>Replacement-device shipping</x:v>
      </x:c>
      <x:c r="D347" s="18" t="str">
        <x:v>replacement shipment</x:v>
      </x:c>
      <x:c r="E347" s="32" t="n">
        <x:v>5</x:v>
      </x:c>
      <x:c r="F347" s="33" t="n">
        <x:v>9.6</x:v>
      </x:c>
      <x:c r="G347" s="33" t="n">
        <x:v>12</x:v>
      </x:c>
      <x:c r="H347" s="34" t="str">
        <x:v>recurring</x:v>
      </x:c>
      <x:c r="I347" s="33" t="n">
        <x:v>15</x:v>
      </x:c>
      <x:c r="J347" s="35" t="str">
        <x:v>Planning allowance; written quote needed</x:v>
      </x:c>
      <x:c r="K347" s="36" t="str">
        <x:v>ALLOW</x:v>
      </x:c>
      <x:c r="L347" s="37" t="n">
        <x:f>ROUND(E347*F347,2)</x:f>
        <x:v>48</x:v>
      </x:c>
      <x:c r="M347" s="37" t="n">
        <x:f>ROUND(E347*G347,2)</x:f>
        <x:v>60</x:v>
      </x:c>
      <x:c r="N347" s="37" t="n">
        <x:f>ROUND(E347*I347,2)</x:f>
        <x:v>75</x:v>
      </x:c>
      <x:c r="O347" s="18" t="str">
        <x:v>Assumed usage/quantity; vendor pricing only verified for specific named unit. Taxes, freight and overhead listed separately. Low/high are -20%/+25% rate sensitivity, not observed market range.</x:v>
      </x:c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48" customHeight="1">
      <x:c r="A348" s="1" t="str">
        <x:v>EXT-118</x:v>
      </x:c>
      <x:c r="B348" s="1" t="str">
        <x:v>Other business facets</x:v>
      </x:c>
      <x:c r="C348" s="18" t="str">
        <x:v>Repair labor</x:v>
      </x:c>
      <x:c r="D348" s="18" t="str">
        <x:v>repair hour</x:v>
      </x:c>
      <x:c r="E348" s="32" t="n">
        <x:v>10</x:v>
      </x:c>
      <x:c r="F348" s="33" t="n">
        <x:v>28</x:v>
      </x:c>
      <x:c r="G348" s="33" t="n">
        <x:v>35</x:v>
      </x:c>
      <x:c r="H348" s="34" t="str">
        <x:v>recurring</x:v>
      </x:c>
      <x:c r="I348" s="33" t="n">
        <x:v>43.75</x:v>
      </x:c>
      <x:c r="J348" s="35" t="str">
        <x:v>Planning allowance; written quote needed</x:v>
      </x:c>
      <x:c r="K348" s="36" t="str">
        <x:v>ALLOW</x:v>
      </x:c>
      <x:c r="L348" s="37" t="n">
        <x:f>ROUND(E348*F348,2)</x:f>
        <x:v>280</x:v>
      </x:c>
      <x:c r="M348" s="37" t="n">
        <x:f>ROUND(E348*G348,2)</x:f>
        <x:v>350</x:v>
      </x:c>
      <x:c r="N348" s="37" t="n">
        <x:f>ROUND(E348*I348,2)</x:f>
        <x:v>437.5</x:v>
      </x:c>
      <x:c r="O348" s="18" t="str">
        <x:v>Assumed usage/quantity; vendor pricing only verified for specific named unit. Taxes, freight and overhead listed separately. Low/high are -20%/+25% rate sensitivity, not observed market range.</x:v>
      </x:c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48" customHeight="1">
      <x:c r="A349" s="1" t="str">
        <x:v>EXT-119</x:v>
      </x:c>
      <x:c r="B349" s="1" t="str">
        <x:v>Other business facets</x:v>
      </x:c>
      <x:c r="C349" s="18" t="str">
        <x:v>Replacement parts</x:v>
      </x:c>
      <x:c r="D349" s="18" t="str">
        <x:v>parts kit</x:v>
      </x:c>
      <x:c r="E349" s="32" t="n">
        <x:v>5</x:v>
      </x:c>
      <x:c r="F349" s="33" t="n">
        <x:v>24</x:v>
      </x:c>
      <x:c r="G349" s="33" t="n">
        <x:v>30</x:v>
      </x:c>
      <x:c r="H349" s="34" t="str">
        <x:v>recurring</x:v>
      </x:c>
      <x:c r="I349" s="33" t="n">
        <x:v>37.5</x:v>
      </x:c>
      <x:c r="J349" s="35" t="str">
        <x:v>Planning allowance; written quote needed</x:v>
      </x:c>
      <x:c r="K349" s="36" t="str">
        <x:v>ALLOW</x:v>
      </x:c>
      <x:c r="L349" s="37" t="n">
        <x:f>ROUND(E349*F349,2)</x:f>
        <x:v>120</x:v>
      </x:c>
      <x:c r="M349" s="37" t="n">
        <x:f>ROUND(E349*G349,2)</x:f>
        <x:v>150</x:v>
      </x:c>
      <x:c r="N349" s="37" t="n">
        <x:f>ROUND(E349*I349,2)</x:f>
        <x:v>187.5</x:v>
      </x:c>
      <x:c r="O349" s="18" t="str">
        <x:v>Assumed usage/quantity; vendor pricing only verified for specific named unit. Taxes, freight and overhead listed separately. Low/high are -20%/+25% rate sensitivity, not observed market range.</x:v>
      </x:c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48" customHeight="1">
      <x:c r="A350" s="1" t="str">
        <x:v>EXT-120</x:v>
      </x:c>
      <x:c r="B350" s="1" t="str">
        <x:v>Other business facets</x:v>
      </x:c>
      <x:c r="C350" s="18" t="str">
        <x:v>Lost-device write-off</x:v>
      </x:c>
      <x:c r="D350" s="18" t="str">
        <x:v>lost device</x:v>
      </x:c>
      <x:c r="E350" s="32" t="n">
        <x:v>3</x:v>
      </x:c>
      <x:c r="F350" s="33" t="n">
        <x:v>191.99</x:v>
      </x:c>
      <x:c r="G350" s="33" t="n">
        <x:v>191.99</x:v>
      </x:c>
      <x:c r="H350" s="34" t="str">
        <x:v>recurring</x:v>
      </x:c>
      <x:c r="I350" s="33" t="n">
        <x:v>191.99</x:v>
      </x:c>
      <x:c r="J350" s="35" t="str">
        <x:v>Published rate × assumed quantity</x:v>
      </x:c>
      <x:c r="K350" s="36" t="str">
        <x:v>TAB</x:v>
      </x:c>
      <x:c r="L350" s="37" t="n">
        <x:f>ROUND(E350*F350,2)</x:f>
        <x:v>575.97</x:v>
      </x:c>
      <x:c r="M350" s="37" t="n">
        <x:f>ROUND(E350*G350,2)</x:f>
        <x:v>575.97</x:v>
      </x:c>
      <x:c r="N350" s="37" t="n">
        <x:f>ROUND(E350*I350,2)</x:f>
        <x:v>575.97</x:v>
      </x:c>
      <x:c r="O350" s="18" t="str">
        <x:v>Assumed usage/quantity; vendor pricing only verified for specific named unit. Taxes, freight and overhead listed separately.</x:v>
      </x:c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48" customHeight="1">
      <x:c r="A351" s="1" t="str">
        <x:v>EXT-121</x:v>
      </x:c>
      <x:c r="B351" s="1" t="str">
        <x:v>Other business facets</x:v>
      </x:c>
      <x:c r="C351" s="18" t="str">
        <x:v>Warranty administration</x:v>
      </x:c>
      <x:c r="D351" s="18" t="str">
        <x:v>warranty admin hour</x:v>
      </x:c>
      <x:c r="E351" s="32" t="n">
        <x:v>12</x:v>
      </x:c>
      <x:c r="F351" s="33" t="n">
        <x:v>28</x:v>
      </x:c>
      <x:c r="G351" s="33" t="n">
        <x:v>35</x:v>
      </x:c>
      <x:c r="H351" s="34" t="str">
        <x:v>recurring</x:v>
      </x:c>
      <x:c r="I351" s="33" t="n">
        <x:v>43.75</x:v>
      </x:c>
      <x:c r="J351" s="35" t="str">
        <x:v>Planning allowance; written quote needed</x:v>
      </x:c>
      <x:c r="K351" s="36" t="str">
        <x:v>ALLOW</x:v>
      </x:c>
      <x:c r="L351" s="37" t="n">
        <x:f>ROUND(E351*F351,2)</x:f>
        <x:v>336</x:v>
      </x:c>
      <x:c r="M351" s="37" t="n">
        <x:f>ROUND(E351*G351,2)</x:f>
        <x:v>420</x:v>
      </x:c>
      <x:c r="N351" s="37" t="n">
        <x:f>ROUND(E351*I351,2)</x:f>
        <x:v>525</x:v>
      </x:c>
      <x:c r="O351" s="18" t="str">
        <x:v>Assumed usage/quantity; vendor pricing only verified for specific named unit. Taxes, freight and overhead listed separately. Low/high are -20%/+25% rate sensitivity, not observed market range.</x:v>
      </x:c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48" customHeight="1">
      <x:c r="A352" s="1" t="str">
        <x:v>EXT-122</x:v>
      </x:c>
      <x:c r="B352" s="1" t="str">
        <x:v>Other business facets</x:v>
      </x:c>
      <x:c r="C352" s="18" t="str">
        <x:v>Device return sanitization and reset</x:v>
      </x:c>
      <x:c r="D352" s="18" t="str">
        <x:v>returned-device reset</x:v>
      </x:c>
      <x:c r="E352" s="32" t="n">
        <x:v>10</x:v>
      </x:c>
      <x:c r="F352" s="33" t="n">
        <x:v>12</x:v>
      </x:c>
      <x:c r="G352" s="33" t="n">
        <x:v>15</x:v>
      </x:c>
      <x:c r="H352" s="34" t="str">
        <x:v>recurring</x:v>
      </x:c>
      <x:c r="I352" s="33" t="n">
        <x:v>18.75</x:v>
      </x:c>
      <x:c r="J352" s="35" t="str">
        <x:v>Planning allowance; written quote needed</x:v>
      </x:c>
      <x:c r="K352" s="36" t="str">
        <x:v>ALLOW</x:v>
      </x:c>
      <x:c r="L352" s="37" t="n">
        <x:f>ROUND(E352*F352,2)</x:f>
        <x:v>120</x:v>
      </x:c>
      <x:c r="M352" s="37" t="n">
        <x:f>ROUND(E352*G352,2)</x:f>
        <x:v>150</x:v>
      </x:c>
      <x:c r="N352" s="37" t="n">
        <x:f>ROUND(E352*I352,2)</x:f>
        <x:v>187.5</x:v>
      </x:c>
      <x:c r="O352" s="18" t="str">
        <x:v>Assumed usage/quantity; vendor pricing only verified for specific named unit. Taxes, freight and overhead listed separately. Low/high are -20%/+25% rate sensitivity, not observed market range.</x:v>
      </x:c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48" customHeight="1">
      <x:c r="A353" s="1" t="str">
        <x:v>EXT-123</x:v>
      </x:c>
      <x:c r="B353" s="1" t="str">
        <x:v>Other business facets</x:v>
      </x:c>
      <x:c r="C353" s="18" t="str">
        <x:v>Device recycling</x:v>
      </x:c>
      <x:c r="D353" s="18" t="str">
        <x:v>recycling fee</x:v>
      </x:c>
      <x:c r="E353" s="32" t="n">
        <x:v>5</x:v>
      </x:c>
      <x:c r="F353" s="33" t="n">
        <x:v>8</x:v>
      </x:c>
      <x:c r="G353" s="33" t="n">
        <x:v>10</x:v>
      </x:c>
      <x:c r="H353" s="34" t="str">
        <x:v>recurring</x:v>
      </x:c>
      <x:c r="I353" s="33" t="n">
        <x:v>12.5</x:v>
      </x:c>
      <x:c r="J353" s="35" t="str">
        <x:v>Planning allowance; written quote needed</x:v>
      </x:c>
      <x:c r="K353" s="36" t="str">
        <x:v>ALLOW</x:v>
      </x:c>
      <x:c r="L353" s="37" t="n">
        <x:f>ROUND(E353*F353,2)</x:f>
        <x:v>40</x:v>
      </x:c>
      <x:c r="M353" s="37" t="n">
        <x:f>ROUND(E353*G353,2)</x:f>
        <x:v>50</x:v>
      </x:c>
      <x:c r="N353" s="37" t="n">
        <x:f>ROUND(E353*I353,2)</x:f>
        <x:v>62.5</x:v>
      </x:c>
      <x:c r="O353" s="18" t="str">
        <x:v>Assumed usage/quantity; vendor pricing only verified for specific named unit. Taxes, freight and overhead listed separately. Low/high are -20%/+25% rate sensitivity, not observed market range.</x:v>
      </x:c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48" customHeight="1">
      <x:c r="A354" s="1" t="str">
        <x:v>EXT-124</x:v>
      </x:c>
      <x:c r="B354" s="1" t="str">
        <x:v>Other business facets</x:v>
      </x:c>
      <x:c r="C354" s="18" t="str">
        <x:v>Device-management privacy and contract review</x:v>
      </x:c>
      <x:c r="D354" s="18" t="str">
        <x:v>device attorney hour</x:v>
      </x:c>
      <x:c r="E354" s="32" t="n">
        <x:v>4</x:v>
      </x:c>
      <x:c r="F354" s="33" t="n">
        <x:v>280</x:v>
      </x:c>
      <x:c r="G354" s="33" t="n">
        <x:v>350</x:v>
      </x:c>
      <x:c r="H354" s="34" t="str">
        <x:v>one_time</x:v>
      </x:c>
      <x:c r="I354" s="33" t="n">
        <x:v>437.5</x:v>
      </x:c>
      <x:c r="J354" s="35" t="str">
        <x:v>Planning allowance; written quote needed</x:v>
      </x:c>
      <x:c r="K354" s="36" t="str">
        <x:v>ALLOW</x:v>
      </x:c>
      <x:c r="L354" s="37" t="n">
        <x:f>ROUND(E354*F354,2)</x:f>
        <x:v>1120</x:v>
      </x:c>
      <x:c r="M354" s="37" t="n">
        <x:f>ROUND(E354*G354,2)</x:f>
        <x:v>1400</x:v>
      </x:c>
      <x:c r="N354" s="37" t="n">
        <x:f>ROUND(E354*I354,2)</x:f>
        <x:v>1750</x:v>
      </x:c>
      <x:c r="O354" s="18" t="str">
        <x:v>Assumed usage/quantity; vendor pricing only verified for specific named unit. Taxes, freight and overhead listed separately. Low/high are -20%/+25% rate sensitivity, not observed market range.</x:v>
      </x:c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48" customHeight="1">
      <x:c r="A355" s="1" t="str">
        <x:v>EXT-136</x:v>
      </x:c>
      <x:c r="B355" s="1" t="str">
        <x:v>Other business facets</x:v>
      </x:c>
      <x:c r="C355" s="18" t="str">
        <x:v>Spanish support coverage paid hours</x:v>
      </x:c>
      <x:c r="D355" s="18" t="str">
        <x:v>Spanish coverage hour</x:v>
      </x:c>
      <x:c r="E355" s="32" t="n">
        <x:v>104</x:v>
      </x:c>
      <x:c r="F355" s="33" t="n">
        <x:v>28</x:v>
      </x:c>
      <x:c r="G355" s="33" t="n">
        <x:v>35</x:v>
      </x:c>
      <x:c r="H355" s="34" t="str">
        <x:v>recurring</x:v>
      </x:c>
      <x:c r="I355" s="33" t="n">
        <x:v>43.75</x:v>
      </x:c>
      <x:c r="J355" s="35" t="str">
        <x:v>Planning allowance; written quote needed</x:v>
      </x:c>
      <x:c r="K355" s="36" t="str">
        <x:v>ALLOW</x:v>
      </x:c>
      <x:c r="L355" s="37" t="n">
        <x:f>ROUND(E355*F355,2)</x:f>
        <x:v>2912</x:v>
      </x:c>
      <x:c r="M355" s="37" t="n">
        <x:f>ROUND(E355*G355,2)</x:f>
        <x:v>3640</x:v>
      </x:c>
      <x:c r="N355" s="37" t="n">
        <x:f>ROUND(E355*I355,2)</x:f>
        <x:v>4550</x:v>
      </x:c>
      <x:c r="O355" s="18" t="str">
        <x:v>Assumed usage/quantity; vendor pricing only verified for specific named unit. Taxes, freight and overhead listed separately. Low/high are -20%/+25% rate sensitivity, not observed market range.</x:v>
      </x:c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48" customHeight="1">
      <x:c r="A356" s="1" t="str">
        <x:v>EXT-137</x:v>
      </x:c>
      <x:c r="B356" s="1" t="str">
        <x:v>Other business facets</x:v>
      </x:c>
      <x:c r="C356" s="18" t="str">
        <x:v>Support helpdesk subscription</x:v>
      </x:c>
      <x:c r="D356" s="18" t="str">
        <x:v>helpdesk month</x:v>
      </x:c>
      <x:c r="E356" s="32" t="n">
        <x:v>12</x:v>
      </x:c>
      <x:c r="F356" s="33" t="n">
        <x:v>40</x:v>
      </x:c>
      <x:c r="G356" s="33" t="n">
        <x:v>50</x:v>
      </x:c>
      <x:c r="H356" s="34" t="str">
        <x:v>recurring</x:v>
      </x:c>
      <x:c r="I356" s="33" t="n">
        <x:v>62.5</x:v>
      </x:c>
      <x:c r="J356" s="35" t="str">
        <x:v>Planning allowance; written quote needed</x:v>
      </x:c>
      <x:c r="K356" s="36" t="str">
        <x:v>ALLOW</x:v>
      </x:c>
      <x:c r="L356" s="37" t="n">
        <x:f>ROUND(E356*F356,2)</x:f>
        <x:v>480</x:v>
      </x:c>
      <x:c r="M356" s="37" t="n">
        <x:f>ROUND(E356*G356,2)</x:f>
        <x:v>600</x:v>
      </x:c>
      <x:c r="N356" s="37" t="n">
        <x:f>ROUND(E356*I356,2)</x:f>
        <x:v>750</x:v>
      </x:c>
      <x:c r="O356" s="18" t="str">
        <x:v>Assumed usage/quantity; vendor pricing only verified for specific named unit. Taxes, freight and overhead listed separately. Low/high are -20%/+25% rate sensitivity, not observed market range.</x:v>
      </x:c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48" customHeight="1">
      <x:c r="A357" s="1" t="str">
        <x:v>EXT-138</x:v>
      </x:c>
      <x:c r="B357" s="1" t="str">
        <x:v>Other business facets</x:v>
      </x:c>
      <x:c r="C357" s="18" t="str">
        <x:v>English help-center article authoring</x:v>
      </x:c>
      <x:c r="D357" s="18" t="str">
        <x:v>help article hour</x:v>
      </x:c>
      <x:c r="E357" s="32" t="n">
        <x:v>80</x:v>
      </x:c>
      <x:c r="F357" s="33" t="n">
        <x:v>48</x:v>
      </x:c>
      <x:c r="G357" s="33" t="n">
        <x:v>60</x:v>
      </x:c>
      <x:c r="H357" s="34" t="str">
        <x:v>one_time</x:v>
      </x:c>
      <x:c r="I357" s="33" t="n">
        <x:v>75</x:v>
      </x:c>
      <x:c r="J357" s="35" t="str">
        <x:v>Planning allowance; written quote needed</x:v>
      </x:c>
      <x:c r="K357" s="36" t="str">
        <x:v>ALLOW</x:v>
      </x:c>
      <x:c r="L357" s="37" t="n">
        <x:f>ROUND(E357*F357,2)</x:f>
        <x:v>3840</x:v>
      </x:c>
      <x:c r="M357" s="37" t="n">
        <x:f>ROUND(E357*G357,2)</x:f>
        <x:v>4800</x:v>
      </x:c>
      <x:c r="N357" s="37" t="n">
        <x:f>ROUND(E357*I357,2)</x:f>
        <x:v>6000</x:v>
      </x:c>
      <x:c r="O357" s="18" t="str">
        <x:v>Assumed usage/quantity; vendor pricing only verified for specific named unit. Taxes, freight and overhead listed separately. Low/high are -20%/+25% rate sensitivity, not observed market range.</x:v>
      </x:c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48" customHeight="1">
      <x:c r="A358" s="1" t="str">
        <x:v>EXT-139</x:v>
      </x:c>
      <x:c r="B358" s="1" t="str">
        <x:v>Other business facets</x:v>
      </x:c>
      <x:c r="C358" s="18" t="str">
        <x:v>Spanish help-center article adaptation</x:v>
      </x:c>
      <x:c r="D358" s="18" t="str">
        <x:v>ES article hour</x:v>
      </x:c>
      <x:c r="E358" s="32" t="n">
        <x:v>40</x:v>
      </x:c>
      <x:c r="F358" s="33" t="n">
        <x:v>48</x:v>
      </x:c>
      <x:c r="G358" s="33" t="n">
        <x:v>60</x:v>
      </x:c>
      <x:c r="H358" s="34" t="str">
        <x:v>one_time</x:v>
      </x:c>
      <x:c r="I358" s="33" t="n">
        <x:v>75</x:v>
      </x:c>
      <x:c r="J358" s="35" t="str">
        <x:v>Planning allowance; written quote needed</x:v>
      </x:c>
      <x:c r="K358" s="36" t="str">
        <x:v>ALLOW</x:v>
      </x:c>
      <x:c r="L358" s="37" t="n">
        <x:f>ROUND(E358*F358,2)</x:f>
        <x:v>1920</x:v>
      </x:c>
      <x:c r="M358" s="37" t="n">
        <x:f>ROUND(E358*G358,2)</x:f>
        <x:v>2400</x:v>
      </x:c>
      <x:c r="N358" s="37" t="n">
        <x:f>ROUND(E358*I358,2)</x:f>
        <x:v>3000</x:v>
      </x:c>
      <x:c r="O358" s="18" t="str">
        <x:v>Assumed usage/quantity; vendor pricing only verified for specific named unit. Taxes, freight and overhead listed separately. Low/high are -20%/+25% rate sensitivity, not observed market range.</x:v>
      </x:c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48" customHeight="1">
      <x:c r="A359" s="1" t="str">
        <x:v>EXT-140</x:v>
      </x:c>
      <x:c r="B359" s="1" t="str">
        <x:v>Other business facets</x:v>
      </x:c>
      <x:c r="C359" s="18" t="str">
        <x:v>Teacher onboarding session delivery</x:v>
      </x:c>
      <x:c r="D359" s="18" t="str">
        <x:v>teacher training hour</x:v>
      </x:c>
      <x:c r="E359" s="32" t="n">
        <x:v>32</x:v>
      </x:c>
      <x:c r="F359" s="33" t="n">
        <x:v>60</x:v>
      </x:c>
      <x:c r="G359" s="33" t="n">
        <x:v>75</x:v>
      </x:c>
      <x:c r="H359" s="34" t="str">
        <x:v>one_time</x:v>
      </x:c>
      <x:c r="I359" s="33" t="n">
        <x:v>93.75</x:v>
      </x:c>
      <x:c r="J359" s="35" t="str">
        <x:v>Planning allowance; written quote needed</x:v>
      </x:c>
      <x:c r="K359" s="36" t="str">
        <x:v>ALLOW</x:v>
      </x:c>
      <x:c r="L359" s="37" t="n">
        <x:f>ROUND(E359*F359,2)</x:f>
        <x:v>1920</x:v>
      </x:c>
      <x:c r="M359" s="37" t="n">
        <x:f>ROUND(E359*G359,2)</x:f>
        <x:v>2400</x:v>
      </x:c>
      <x:c r="N359" s="37" t="n">
        <x:f>ROUND(E359*I359,2)</x:f>
        <x:v>3000</x:v>
      </x:c>
      <x:c r="O359" s="18" t="str">
        <x:v>Assumed usage/quantity; vendor pricing only verified for specific named unit. Taxes, freight and overhead listed separately. Low/high are -20%/+25% rate sensitivity, not observed market range.</x:v>
      </x:c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48" customHeight="1">
      <x:c r="A360" s="1" t="str">
        <x:v>EXT-141</x:v>
      </x:c>
      <x:c r="B360" s="1" t="str">
        <x:v>Other business facets</x:v>
      </x:c>
      <x:c r="C360" s="18" t="str">
        <x:v>Director onboarding session delivery</x:v>
      </x:c>
      <x:c r="D360" s="18" t="str">
        <x:v>director training hour</x:v>
      </x:c>
      <x:c r="E360" s="32" t="n">
        <x:v>8</x:v>
      </x:c>
      <x:c r="F360" s="33" t="n">
        <x:v>60</x:v>
      </x:c>
      <x:c r="G360" s="33" t="n">
        <x:v>75</x:v>
      </x:c>
      <x:c r="H360" s="34" t="str">
        <x:v>one_time</x:v>
      </x:c>
      <x:c r="I360" s="33" t="n">
        <x:v>93.75</x:v>
      </x:c>
      <x:c r="J360" s="35" t="str">
        <x:v>Planning allowance; written quote needed</x:v>
      </x:c>
      <x:c r="K360" s="36" t="str">
        <x:v>ALLOW</x:v>
      </x:c>
      <x:c r="L360" s="37" t="n">
        <x:f>ROUND(E360*F360,2)</x:f>
        <x:v>480</x:v>
      </x:c>
      <x:c r="M360" s="37" t="n">
        <x:f>ROUND(E360*G360,2)</x:f>
        <x:v>600</x:v>
      </x:c>
      <x:c r="N360" s="37" t="n">
        <x:f>ROUND(E360*I360,2)</x:f>
        <x:v>750</x:v>
      </x:c>
      <x:c r="O360" s="18" t="str">
        <x:v>Assumed usage/quantity; vendor pricing only verified for specific named unit. Taxes, freight and overhead listed separately. Low/high are -20%/+25% rate sensitivity, not observed market range.</x:v>
      </x:c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48" customHeight="1">
      <x:c r="A361" s="1" t="str">
        <x:v>EXT-142</x:v>
      </x:c>
      <x:c r="B361" s="1" t="str">
        <x:v>Other business facets</x:v>
      </x:c>
      <x:c r="C361" s="18" t="str">
        <x:v>Parent onboarding session delivery</x:v>
      </x:c>
      <x:c r="D361" s="18" t="str">
        <x:v>parent session hour</x:v>
      </x:c>
      <x:c r="E361" s="32" t="n">
        <x:v>16</x:v>
      </x:c>
      <x:c r="F361" s="33" t="n">
        <x:v>40</x:v>
      </x:c>
      <x:c r="G361" s="33" t="n">
        <x:v>50</x:v>
      </x:c>
      <x:c r="H361" s="34" t="str">
        <x:v>one_time</x:v>
      </x:c>
      <x:c r="I361" s="33" t="n">
        <x:v>62.5</x:v>
      </x:c>
      <x:c r="J361" s="35" t="str">
        <x:v>Planning allowance; written quote needed</x:v>
      </x:c>
      <x:c r="K361" s="36" t="str">
        <x:v>ALLOW</x:v>
      </x:c>
      <x:c r="L361" s="37" t="n">
        <x:f>ROUND(E361*F361,2)</x:f>
        <x:v>640</x:v>
      </x:c>
      <x:c r="M361" s="37" t="n">
        <x:f>ROUND(E361*G361,2)</x:f>
        <x:v>800</x:v>
      </x:c>
      <x:c r="N361" s="37" t="n">
        <x:f>ROUND(E361*I361,2)</x:f>
        <x:v>1000</x:v>
      </x:c>
      <x:c r="O361" s="18" t="str">
        <x:v>Assumed usage/quantity; vendor pricing only verified for specific named unit. Taxes, freight and overhead listed separately. Low/high are -20%/+25% rate sensitivity, not observed market range.</x:v>
      </x:c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48" customHeight="1">
      <x:c r="A362" s="1" t="str">
        <x:v>EXT-163</x:v>
      </x:c>
      <x:c r="B362" s="1" t="str">
        <x:v>Other business facets</x:v>
      </x:c>
      <x:c r="C362" s="18" t="str">
        <x:v>Future product direction paid hours</x:v>
      </x:c>
      <x:c r="D362" s="18" t="str">
        <x:v>creator product direction hour</x:v>
      </x:c>
      <x:c r="E362" s="32" t="n">
        <x:v>520</x:v>
      </x:c>
      <x:c r="F362" s="33" t="n">
        <x:v>120</x:v>
      </x:c>
      <x:c r="G362" s="33" t="n">
        <x:v>150</x:v>
      </x:c>
      <x:c r="H362" s="34" t="str">
        <x:v>one_time</x:v>
      </x:c>
      <x:c r="I362" s="33" t="n">
        <x:v>187.5</x:v>
      </x:c>
      <x:c r="J362" s="35" t="str">
        <x:v>Planning allowance; written quote needed</x:v>
      </x:c>
      <x:c r="K362" s="36" t="str">
        <x:v>ALLOW</x:v>
      </x:c>
      <x:c r="L362" s="37" t="n">
        <x:f>ROUND(E362*F362,2)</x:f>
        <x:v>62400</x:v>
      </x:c>
      <x:c r="M362" s="37" t="n">
        <x:f>ROUND(E362*G362,2)</x:f>
        <x:v>78000</x:v>
      </x:c>
      <x:c r="N362" s="37" t="n">
        <x:f>ROUND(E362*I362,2)</x:f>
        <x:v>97500</x:v>
      </x:c>
      <x:c r="O362" s="18" t="str">
        <x:v>Assumed usage/quantity; vendor pricing only verified for specific named unit. Taxes, freight and overhead listed separately. Low/high are -20%/+25% rate sensitivity, not observed market range.</x:v>
      </x:c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48" customHeight="1">
      <x:c r="A363" s="1" t="str">
        <x:v>EXT-165</x:v>
      </x:c>
      <x:c r="B363" s="1" t="str">
        <x:v>Other business facets</x:v>
      </x:c>
      <x:c r="C363" s="18" t="str">
        <x:v>Future creative direction paid hours</x:v>
      </x:c>
      <x:c r="D363" s="18" t="str">
        <x:v>creator creative direction hour</x:v>
      </x:c>
      <x:c r="E363" s="32" t="n">
        <x:v>260</x:v>
      </x:c>
      <x:c r="F363" s="33" t="n">
        <x:v>100</x:v>
      </x:c>
      <x:c r="G363" s="33" t="n">
        <x:v>125</x:v>
      </x:c>
      <x:c r="H363" s="34" t="str">
        <x:v>one_time</x:v>
      </x:c>
      <x:c r="I363" s="33" t="n">
        <x:v>156.25</x:v>
      </x:c>
      <x:c r="J363" s="35" t="str">
        <x:v>Planning allowance; written quote needed</x:v>
      </x:c>
      <x:c r="K363" s="36" t="str">
        <x:v>ALLOW</x:v>
      </x:c>
      <x:c r="L363" s="37" t="n">
        <x:f>ROUND(E363*F363,2)</x:f>
        <x:v>26000</x:v>
      </x:c>
      <x:c r="M363" s="37" t="n">
        <x:f>ROUND(E363*G363,2)</x:f>
        <x:v>32500</x:v>
      </x:c>
      <x:c r="N363" s="37" t="n">
        <x:f>ROUND(E363*I363,2)</x:f>
        <x:v>40625</x:v>
      </x:c>
      <x:c r="O363" s="18" t="str">
        <x:v>Assumed usage/quantity; vendor pricing only verified for specific named unit. Taxes, freight and overhead listed separately. Low/high are -20%/+25% rate sensitivity, not observed market range.</x:v>
      </x:c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48" customHeight="1">
      <x:c r="A364" s="1" t="str">
        <x:v>EXT-167</x:v>
      </x:c>
      <x:c r="B364" s="1" t="str">
        <x:v>Other business facets</x:v>
      </x:c>
      <x:c r="C364" s="18" t="str">
        <x:v>Future brand/IP licensing contract</x:v>
      </x:c>
      <x:c r="D364" s="18" t="str">
        <x:v>IP contract attorney hour</x:v>
      </x:c>
      <x:c r="E364" s="32" t="n">
        <x:v>8</x:v>
      </x:c>
      <x:c r="F364" s="33" t="n">
        <x:v>280</x:v>
      </x:c>
      <x:c r="G364" s="33" t="n">
        <x:v>350</x:v>
      </x:c>
      <x:c r="H364" s="34" t="str">
        <x:v>one_time</x:v>
      </x:c>
      <x:c r="I364" s="33" t="n">
        <x:v>437.5</x:v>
      </x:c>
      <x:c r="J364" s="35" t="str">
        <x:v>Planning allowance; written quote needed</x:v>
      </x:c>
      <x:c r="K364" s="36" t="str">
        <x:v>ALLOW</x:v>
      </x:c>
      <x:c r="L364" s="37" t="n">
        <x:f>ROUND(E364*F364,2)</x:f>
        <x:v>2240</x:v>
      </x:c>
      <x:c r="M364" s="37" t="n">
        <x:f>ROUND(E364*G364,2)</x:f>
        <x:v>2800</x:v>
      </x:c>
      <x:c r="N364" s="37" t="n">
        <x:f>ROUND(E364*I364,2)</x:f>
        <x:v>3500</x:v>
      </x:c>
      <x:c r="O364" s="18" t="str">
        <x:v>Assumed usage/quantity; vendor pricing only verified for specific named unit. Taxes, freight and overhead listed separately. Low/high are -20%/+25% rate sensitivity, not observed market range.</x:v>
      </x:c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48" customHeight="1">
      <x:c r="A365" s="1" t="str">
        <x:v>EXT-169</x:v>
      </x:c>
      <x:c r="B365" s="1" t="str">
        <x:v>Other business facets</x:v>
      </x:c>
      <x:c r="C365" s="18" t="str">
        <x:v>Loan legal review</x:v>
      </x:c>
      <x:c r="D365" s="18" t="str">
        <x:v>loan attorney hour</x:v>
      </x:c>
      <x:c r="E365" s="32" t="n">
        <x:v>8</x:v>
      </x:c>
      <x:c r="F365" s="33" t="n">
        <x:v>280</x:v>
      </x:c>
      <x:c r="G365" s="33" t="n">
        <x:v>350</x:v>
      </x:c>
      <x:c r="H365" s="34" t="str">
        <x:v>one_time</x:v>
      </x:c>
      <x:c r="I365" s="33" t="n">
        <x:v>437.5</x:v>
      </x:c>
      <x:c r="J365" s="35" t="str">
        <x:v>Planning allowance; written quote needed</x:v>
      </x:c>
      <x:c r="K365" s="36" t="str">
        <x:v>ALLOW</x:v>
      </x:c>
      <x:c r="L365" s="37" t="n">
        <x:f>ROUND(E365*F365,2)</x:f>
        <x:v>2240</x:v>
      </x:c>
      <x:c r="M365" s="37" t="n">
        <x:f>ROUND(E365*G365,2)</x:f>
        <x:v>2800</x:v>
      </x:c>
      <x:c r="N365" s="37" t="n">
        <x:f>ROUND(E365*I365,2)</x:f>
        <x:v>3500</x:v>
      </x:c>
      <x:c r="O365" s="18" t="str">
        <x:v>Assumed usage/quantity; vendor pricing only verified for specific named unit. Taxes, freight and overhead listed separately. Low/high are -20%/+25% rate sensitivity, not observed market range.</x:v>
      </x:c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48" customHeight="1">
      <x:c r="A366" s="1" t="str">
        <x:v>EXT-173</x:v>
      </x:c>
      <x:c r="B366" s="1" t="str">
        <x:v>Other business facets</x:v>
      </x:c>
      <x:c r="C366" s="18" t="str">
        <x:v>Debt covenant reporting</x:v>
      </x:c>
      <x:c r="D366" s="18" t="str">
        <x:v>covenant reporting hour</x:v>
      </x:c>
      <x:c r="E366" s="32" t="n">
        <x:v>12</x:v>
      </x:c>
      <x:c r="F366" s="33" t="n">
        <x:v>60</x:v>
      </x:c>
      <x:c r="G366" s="33" t="n">
        <x:v>75</x:v>
      </x:c>
      <x:c r="H366" s="34" t="str">
        <x:v>recurring</x:v>
      </x:c>
      <x:c r="I366" s="33" t="n">
        <x:v>93.75</x:v>
      </x:c>
      <x:c r="J366" s="35" t="str">
        <x:v>Planning allowance; written quote needed</x:v>
      </x:c>
      <x:c r="K366" s="36" t="str">
        <x:v>ALLOW</x:v>
      </x:c>
      <x:c r="L366" s="37" t="n">
        <x:f>ROUND(E366*F366,2)</x:f>
        <x:v>720</x:v>
      </x:c>
      <x:c r="M366" s="37" t="n">
        <x:f>ROUND(E366*G366,2)</x:f>
        <x:v>900</x:v>
      </x:c>
      <x:c r="N366" s="37" t="n">
        <x:f>ROUND(E366*I366,2)</x:f>
        <x:v>1125</x:v>
      </x:c>
      <x:c r="O366" s="18" t="str">
        <x:v>Assumed usage/quantity; vendor pricing only verified for specific named unit. Taxes, freight and overhead listed separately. Low/high are -20%/+25% rate sensitivity, not observed market range.</x:v>
      </x:c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48" customHeight="1">
      <x:c r="A367" s="1" t="str">
        <x:v>EXT-174</x:v>
      </x:c>
      <x:c r="B367" s="1" t="str">
        <x:v>Other business facets</x:v>
      </x:c>
      <x:c r="C367" s="18" t="str">
        <x:v>Sales-tax filing service</x:v>
      </x:c>
      <x:c r="D367" s="18" t="str">
        <x:v>filing service month</x:v>
      </x:c>
      <x:c r="E367" s="32" t="n">
        <x:v>12</x:v>
      </x:c>
      <x:c r="F367" s="33" t="n">
        <x:v>60</x:v>
      </x:c>
      <x:c r="G367" s="33" t="n">
        <x:v>75</x:v>
      </x:c>
      <x:c r="H367" s="34" t="str">
        <x:v>recurring</x:v>
      </x:c>
      <x:c r="I367" s="33" t="n">
        <x:v>93.75</x:v>
      </x:c>
      <x:c r="J367" s="35" t="str">
        <x:v>Planning allowance; written quote needed</x:v>
      </x:c>
      <x:c r="K367" s="36" t="str">
        <x:v>ALLOW</x:v>
      </x:c>
      <x:c r="L367" s="37" t="n">
        <x:f>ROUND(E367*F367,2)</x:f>
        <x:v>720</x:v>
      </x:c>
      <x:c r="M367" s="37" t="n">
        <x:f>ROUND(E367*G367,2)</x:f>
        <x:v>900</x:v>
      </x:c>
      <x:c r="N367" s="37" t="n">
        <x:f>ROUND(E367*I367,2)</x:f>
        <x:v>1125</x:v>
      </x:c>
      <x:c r="O367" s="18" t="str">
        <x:v>Assumed usage/quantity; vendor pricing only verified for specific named unit. Taxes, freight and overhead listed separately. Low/high are -20%/+25% rate sensitivity, not observed market range.</x:v>
      </x:c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48" customHeight="1">
      <x:c r="A368" s="1" t="str">
        <x:v>EXT-175</x:v>
      </x:c>
      <x:c r="B368" s="1" t="str">
        <x:v>Other business facets</x:v>
      </x:c>
      <x:c r="C368" s="18" t="str">
        <x:v>Merchandise inventory accounting</x:v>
      </x:c>
      <x:c r="D368" s="18" t="str">
        <x:v>inventory account hour</x:v>
      </x:c>
      <x:c r="E368" s="32" t="n">
        <x:v>24</x:v>
      </x:c>
      <x:c r="F368" s="33" t="n">
        <x:v>60</x:v>
      </x:c>
      <x:c r="G368" s="33" t="n">
        <x:v>75</x:v>
      </x:c>
      <x:c r="H368" s="34" t="str">
        <x:v>recurring</x:v>
      </x:c>
      <x:c r="I368" s="33" t="n">
        <x:v>93.75</x:v>
      </x:c>
      <x:c r="J368" s="35" t="str">
        <x:v>Planning allowance; written quote needed</x:v>
      </x:c>
      <x:c r="K368" s="36" t="str">
        <x:v>ALLOW</x:v>
      </x:c>
      <x:c r="L368" s="37" t="n">
        <x:f>ROUND(E368*F368,2)</x:f>
        <x:v>1440</x:v>
      </x:c>
      <x:c r="M368" s="37" t="n">
        <x:f>ROUND(E368*G368,2)</x:f>
        <x:v>1800</x:v>
      </x:c>
      <x:c r="N368" s="37" t="n">
        <x:f>ROUND(E368*I368,2)</x:f>
        <x:v>2250</x:v>
      </x:c>
      <x:c r="O368" s="18" t="str">
        <x:v>Assumed usage/quantity; vendor pricing only verified for specific named unit. Taxes, freight and overhead listed separately. Low/high are -20%/+25% rate sensitivity, not observed market range.</x:v>
      </x:c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48" customHeight="1">
      <x:c r="A369" s="1" t="str">
        <x:v>EXT-177</x:v>
      </x:c>
      <x:c r="B369" s="1" t="str">
        <x:v>Other business facets</x:v>
      </x:c>
      <x:c r="C369" s="18" t="str">
        <x:v>Monthly financial close and bank reconciliation</x:v>
      </x:c>
      <x:c r="D369" s="18" t="str">
        <x:v>monthly close</x:v>
      </x:c>
      <x:c r="E369" s="32" t="n">
        <x:v>12</x:v>
      </x:c>
      <x:c r="F369" s="33" t="n">
        <x:v>320</x:v>
      </x:c>
      <x:c r="G369" s="33" t="n">
        <x:v>400</x:v>
      </x:c>
      <x:c r="H369" s="34" t="str">
        <x:v>recurring</x:v>
      </x:c>
      <x:c r="I369" s="33" t="n">
        <x:v>500</x:v>
      </x:c>
      <x:c r="J369" s="35" t="str">
        <x:v>Planning allowance; written quote needed</x:v>
      </x:c>
      <x:c r="K369" s="36" t="str">
        <x:v>ALLOW</x:v>
      </x:c>
      <x:c r="L369" s="37" t="n">
        <x:f>ROUND(E369*F369,2)</x:f>
        <x:v>3840</x:v>
      </x:c>
      <x:c r="M369" s="37" t="n">
        <x:f>ROUND(E369*G369,2)</x:f>
        <x:v>4800</x:v>
      </x:c>
      <x:c r="N369" s="37" t="n">
        <x:f>ROUND(E369*I369,2)</x:f>
        <x:v>6000</x:v>
      </x:c>
      <x:c r="O369" s="18" t="str">
        <x:v>Assumed usage/quantity; vendor pricing only verified for specific named unit. Taxes, freight and overhead listed separately. Low/high are -20%/+25% rate sensitivity, not observed market range.</x:v>
      </x:c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48" customHeight="1">
      <x:c r="A370" s="1" t="str">
        <x:v>ADD-DO-BACKUP</x:v>
      </x:c>
      <x:c r="B370" s="1" t="str">
        <x:v>Technology</x:v>
      </x:c>
      <x:c r="C370" s="18" t="str">
        <x:v>Daily backups for both selected Droplets</x:v>
      </x:c>
      <x:c r="D370" s="18" t="str">
        <x:v>annual backup charge</x:v>
      </x:c>
      <x:c r="E370" s="32" t="n">
        <x:v>1</x:v>
      </x:c>
      <x:c r="F370" s="38" t="n">
        <x:f>ROUND(L264*.30,2)</x:f>
        <x:v>276.48</x:v>
      </x:c>
      <x:c r="G370" s="38" t="n">
        <x:f>ROUND(M264*.30,2)</x:f>
        <x:v>345.6</x:v>
      </x:c>
      <x:c r="H370" s="34" t="str">
        <x:v>recurring</x:v>
      </x:c>
      <x:c r="I370" s="38" t="n">
        <x:f>ROUND(N264*.30,2)</x:f>
        <x:v>432</x:v>
      </x:c>
      <x:c r="J370" s="35" t="str">
        <x:v>Published rate × assumed quantity</x:v>
      </x:c>
      <x:c r="K370" s="36" t="str">
        <x:v>DOBAK</x:v>
      </x:c>
      <x:c r="L370" s="37" t="n">
        <x:f>ROUND(E370*F370,2)</x:f>
        <x:v>276.48</x:v>
      </x:c>
      <x:c r="M370" s="37" t="n">
        <x:f>ROUND(E370*G370,2)</x:f>
        <x:v>345.6</x:v>
      </x:c>
      <x:c r="N370" s="37" t="n">
        <x:f>ROUND(E370*I370,2)</x:f>
        <x:v>432</x:v>
      </x:c>
      <x:c r="O370" s="18" t="str">
        <x:v>Daily backup =30% of selected Droplet spend. Derived separately in every scenario.</x:v>
      </x:c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48" customHeight="1">
      <x:c r="A371" s="1" t="str">
        <x:v>ADD-R2-A</x:v>
      </x:c>
      <x:c r="B371" s="1" t="str">
        <x:v>Technology</x:v>
      </x:c>
      <x:c r="C371" s="18" t="str">
        <x:v>Object storage write/list operations</x:v>
      </x:c>
      <x:c r="D371" s="18" t="str">
        <x:v>million billable Class A operations</x:v>
      </x:c>
      <x:c r="E371" s="32" t="n">
        <x:v>12</x:v>
      </x:c>
      <x:c r="F371" s="33" t="n">
        <x:v>4.5</x:v>
      </x:c>
      <x:c r="G371" s="33" t="n">
        <x:v>4.5</x:v>
      </x:c>
      <x:c r="H371" s="34" t="str">
        <x:v>recurring</x:v>
      </x:c>
      <x:c r="I371" s="33" t="n">
        <x:v>4.5</x:v>
      </x:c>
      <x:c r="J371" s="35" t="str">
        <x:v>Published rate × assumed quantity</x:v>
      </x:c>
      <x:c r="K371" s="36" t="str">
        <x:v>R2</x:v>
      </x:c>
      <x:c r="L371" s="37" t="n">
        <x:f>ROUND(E371*F371,2)</x:f>
        <x:v>54</x:v>
      </x:c>
      <x:c r="M371" s="37" t="n">
        <x:f>ROUND(E371*G371,2)</x:f>
        <x:v>54</x:v>
      </x:c>
      <x:c r="N371" s="37" t="n">
        <x:f>ROUND(E371*I371,2)</x:f>
        <x:v>54</x:v>
      </x:c>
      <x:c r="O371" s="18" t="str">
        <x:v>Assumed one million monthly operations AFTER monthly free allowance; usage unverified.</x:v>
      </x:c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48" customHeight="1">
      <x:c r="A372" s="1" t="str">
        <x:v>ADD-R2-B</x:v>
      </x:c>
      <x:c r="B372" s="1" t="str">
        <x:v>Technology</x:v>
      </x:c>
      <x:c r="C372" s="18" t="str">
        <x:v>Object storage read operations</x:v>
      </x:c>
      <x:c r="D372" s="18" t="str">
        <x:v>million billable Class B operations</x:v>
      </x:c>
      <x:c r="E372" s="32" t="n">
        <x:v>120</x:v>
      </x:c>
      <x:c r="F372" s="33" t="n">
        <x:v>0.36</x:v>
      </x:c>
      <x:c r="G372" s="33" t="n">
        <x:v>0.36</x:v>
      </x:c>
      <x:c r="H372" s="34" t="str">
        <x:v>recurring</x:v>
      </x:c>
      <x:c r="I372" s="33" t="n">
        <x:v>0.36</x:v>
      </x:c>
      <x:c r="J372" s="35" t="str">
        <x:v>Published rate × assumed quantity</x:v>
      </x:c>
      <x:c r="K372" s="36" t="str">
        <x:v>R2</x:v>
      </x:c>
      <x:c r="L372" s="37" t="n">
        <x:f>ROUND(E372*F372,2)</x:f>
        <x:v>43.2</x:v>
      </x:c>
      <x:c r="M372" s="37" t="n">
        <x:f>ROUND(E372*G372,2)</x:f>
        <x:v>43.2</x:v>
      </x:c>
      <x:c r="N372" s="37" t="n">
        <x:f>ROUND(E372*I372,2)</x:f>
        <x:v>43.2</x:v>
      </x:c>
      <x:c r="O372" s="18" t="str">
        <x:v>Assumed ten million monthly operations AFTER monthly free allowance; usage unverified.</x:v>
      </x:c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48" customHeight="1">
      <x:c r="A373" s="1" t="str">
        <x:v>MER-PLUSH-Booker</x:v>
      </x:c>
      <x:c r="B373" s="1" t="str">
        <x:v>Merchandise</x:v>
      </x:c>
      <x:c r="C373" s="18" t="str">
        <x:v>Booker plush</x:v>
      </x:c>
      <x:c r="D373" s="18" t="str">
        <x:v>plush</x:v>
      </x:c>
      <x:c r="E373" s="32" t="n">
        <x:v>50</x:v>
      </x:c>
      <x:c r="F373" s="33" t="n">
        <x:v>9.6</x:v>
      </x:c>
      <x:c r="G373" s="33" t="n">
        <x:v>12</x:v>
      </x:c>
      <x:c r="H373" s="34" t="str">
        <x:v>inventory</x:v>
      </x:c>
      <x:c r="I373" s="33" t="n">
        <x:v>15</x:v>
      </x:c>
      <x:c r="J373" s="35" t="str">
        <x:v>Planning allowance; written quote needed</x:v>
      </x:c>
      <x:c r="K373" s="36" t="str">
        <x:v>ALLOW</x:v>
      </x:c>
      <x:c r="L373" s="37" t="n">
        <x:f>ROUND(E373*F373,2)</x:f>
        <x:v>480</x:v>
      </x:c>
      <x:c r="M373" s="37" t="n">
        <x:f>ROUND(E373*G373,2)</x:f>
        <x:v>600</x:v>
      </x:c>
      <x:c r="N373" s="37" t="n">
        <x:f>ROUND(E373*I373,2)</x:f>
        <x:v>750</x:v>
      </x:c>
      <x:c r="O373" s="18" t="str">
        <x:v>Factory unit allowance. MOQ, safety, landed pricing require quote. Low/high are -20%/+25% rate sensitivity, not observed market range.</x:v>
      </x:c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48" customHeight="1">
      <x:c r="A374" s="1" t="str">
        <x:v>MER-RUG-Booker</x:v>
      </x:c>
      <x:c r="B374" s="1" t="str">
        <x:v>Merchandise</x:v>
      </x:c>
      <x:c r="C374" s="18" t="str">
        <x:v>Booker rug</x:v>
      </x:c>
      <x:c r="D374" s="18" t="str">
        <x:v>carpet</x:v>
      </x:c>
      <x:c r="E374" s="32" t="n">
        <x:v>5</x:v>
      </x:c>
      <x:c r="F374" s="33" t="n">
        <x:v>140</x:v>
      </x:c>
      <x:c r="G374" s="33" t="n">
        <x:v>175</x:v>
      </x:c>
      <x:c r="H374" s="34" t="str">
        <x:v>inventory</x:v>
      </x:c>
      <x:c r="I374" s="33" t="n">
        <x:v>218.75</x:v>
      </x:c>
      <x:c r="J374" s="35" t="str">
        <x:v>Planning allowance; written quote needed</x:v>
      </x:c>
      <x:c r="K374" s="36" t="str">
        <x:v>ALLOW</x:v>
      </x:c>
      <x:c r="L374" s="37" t="n">
        <x:f>ROUND(E374*F374,2)</x:f>
        <x:v>700</x:v>
      </x:c>
      <x:c r="M374" s="37" t="n">
        <x:f>ROUND(E374*G374,2)</x:f>
        <x:v>875</x:v>
      </x:c>
      <x:c r="N374" s="37" t="n">
        <x:f>ROUND(E374*I374,2)</x:f>
        <x:v>1093.75</x:v>
      </x:c>
      <x:c r="O374" s="18" t="str">
        <x:v>Factory unit allowance. MOQ, safety, landed pricing require quote. Low/high are -20%/+25% rate sensitivity, not observed market range.</x:v>
      </x:c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48" customHeight="1">
      <x:c r="A375" s="1" t="str">
        <x:v>MER-BOTTLE-Booker</x:v>
      </x:c>
      <x:c r="B375" s="1" t="str">
        <x:v>Merchandise</x:v>
      </x:c>
      <x:c r="C375" s="18" t="str">
        <x:v>Booker bottle</x:v>
      </x:c>
      <x:c r="D375" s="18" t="str">
        <x:v>bottle</x:v>
      </x:c>
      <x:c r="E375" s="32" t="n">
        <x:v>25</x:v>
      </x:c>
      <x:c r="F375" s="33" t="n">
        <x:v>8</x:v>
      </x:c>
      <x:c r="G375" s="33" t="n">
        <x:v>10</x:v>
      </x:c>
      <x:c r="H375" s="34" t="str">
        <x:v>inventory</x:v>
      </x:c>
      <x:c r="I375" s="33" t="n">
        <x:v>12.5</x:v>
      </x:c>
      <x:c r="J375" s="35" t="str">
        <x:v>Planning allowance; written quote needed</x:v>
      </x:c>
      <x:c r="K375" s="36" t="str">
        <x:v>ALLOW</x:v>
      </x:c>
      <x:c r="L375" s="37" t="n">
        <x:f>ROUND(E375*F375,2)</x:f>
        <x:v>200</x:v>
      </x:c>
      <x:c r="M375" s="37" t="n">
        <x:f>ROUND(E375*G375,2)</x:f>
        <x:v>250</x:v>
      </x:c>
      <x:c r="N375" s="37" t="n">
        <x:f>ROUND(E375*I375,2)</x:f>
        <x:v>312.5</x:v>
      </x:c>
      <x:c r="O375" s="18" t="str">
        <x:v>Factory unit allowance. MOQ, safety, landed pricing require quote. Low/high are -20%/+25% rate sensitivity, not observed market range.</x:v>
      </x:c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48" customHeight="1">
      <x:c r="A376" s="1" t="str">
        <x:v>MER-BAG-Booker</x:v>
      </x:c>
      <x:c r="B376" s="1" t="str">
        <x:v>Merchandise</x:v>
      </x:c>
      <x:c r="C376" s="18" t="str">
        <x:v>Booker bag</x:v>
      </x:c>
      <x:c r="D376" s="18" t="str">
        <x:v>backpack</x:v>
      </x:c>
      <x:c r="E376" s="32" t="n">
        <x:v>25</x:v>
      </x:c>
      <x:c r="F376" s="33" t="n">
        <x:v>12</x:v>
      </x:c>
      <x:c r="G376" s="33" t="n">
        <x:v>15</x:v>
      </x:c>
      <x:c r="H376" s="34" t="str">
        <x:v>inventory</x:v>
      </x:c>
      <x:c r="I376" s="33" t="n">
        <x:v>18.75</x:v>
      </x:c>
      <x:c r="J376" s="35" t="str">
        <x:v>Planning allowance; written quote needed</x:v>
      </x:c>
      <x:c r="K376" s="36" t="str">
        <x:v>ALLOW</x:v>
      </x:c>
      <x:c r="L376" s="37" t="n">
        <x:f>ROUND(E376*F376,2)</x:f>
        <x:v>300</x:v>
      </x:c>
      <x:c r="M376" s="37" t="n">
        <x:f>ROUND(E376*G376,2)</x:f>
        <x:v>375</x:v>
      </x:c>
      <x:c r="N376" s="37" t="n">
        <x:f>ROUND(E376*I376,2)</x:f>
        <x:v>468.75</x:v>
      </x:c>
      <x:c r="O376" s="18" t="str">
        <x:v>Factory unit allowance. MOQ, safety, landed pricing require quote. Low/high are -20%/+25% rate sensitivity, not observed market range.</x:v>
      </x:c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48" customHeight="1">
      <x:c r="A377" s="1" t="str">
        <x:v>MER-SHIRT-Booker-2T</x:v>
      </x:c>
      <x:c r="B377" s="1" t="str">
        <x:v>Merchandise</x:v>
      </x:c>
      <x:c r="C377" s="18" t="str">
        <x:v>Booker shirt blank 2T</x:v>
      </x:c>
      <x:c r="D377" s="18" t="str">
        <x:v>blank</x:v>
      </x:c>
      <x:c r="E377" s="32" t="n">
        <x:v>10</x:v>
      </x:c>
      <x:c r="F377" s="33" t="n">
        <x:v>3.2</x:v>
      </x:c>
      <x:c r="G377" s="33" t="n">
        <x:v>4</x:v>
      </x:c>
      <x:c r="H377" s="34" t="str">
        <x:v>inventory</x:v>
      </x:c>
      <x:c r="I377" s="33" t="n">
        <x:v>5</x:v>
      </x:c>
      <x:c r="J377" s="35" t="str">
        <x:v>Planning allowance; written quote needed</x:v>
      </x:c>
      <x:c r="K377" s="36" t="str">
        <x:v>ALLOW</x:v>
      </x:c>
      <x:c r="L377" s="37" t="n">
        <x:f>ROUND(E377*F377,2)</x:f>
        <x:v>32</x:v>
      </x:c>
      <x:c r="M377" s="37" t="n">
        <x:f>ROUND(E377*G377,2)</x:f>
        <x:v>40</x:v>
      </x:c>
      <x:c r="N377" s="37" t="n">
        <x:f>ROUND(E377*I377,2)</x:f>
        <x:v>50</x:v>
      </x:c>
      <x:c r="O377" s="18" t="str">
        <x:v> Low/high are -20%/+25% rate sensitivity, not observed market range.</x:v>
      </x:c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48" customHeight="1">
      <x:c r="A378" s="1" t="str">
        <x:v>MER-PRINT-Booker-2T</x:v>
      </x:c>
      <x:c r="B378" s="1" t="str">
        <x:v>Merchandise</x:v>
      </x:c>
      <x:c r="C378" s="18" t="str">
        <x:v>Booker shirt print 2T</x:v>
      </x:c>
      <x:c r="D378" s="18" t="str">
        <x:v>print</x:v>
      </x:c>
      <x:c r="E378" s="32" t="n">
        <x:v>10</x:v>
      </x:c>
      <x:c r="F378" s="33" t="n">
        <x:v>3.2</x:v>
      </x:c>
      <x:c r="G378" s="33" t="n">
        <x:v>4</x:v>
      </x:c>
      <x:c r="H378" s="34" t="str">
        <x:v>inventory</x:v>
      </x:c>
      <x:c r="I378" s="33" t="n">
        <x:v>5</x:v>
      </x:c>
      <x:c r="J378" s="35" t="str">
        <x:v>Planning allowance; written quote needed</x:v>
      </x:c>
      <x:c r="K378" s="36" t="str">
        <x:v>ALLOW</x:v>
      </x:c>
      <x:c r="L378" s="37" t="n">
        <x:f>ROUND(E378*F378,2)</x:f>
        <x:v>32</x:v>
      </x:c>
      <x:c r="M378" s="37" t="n">
        <x:f>ROUND(E378*G378,2)</x:f>
        <x:v>40</x:v>
      </x:c>
      <x:c r="N378" s="37" t="n">
        <x:f>ROUND(E378*I378,2)</x:f>
        <x:v>50</x:v>
      </x:c>
      <x:c r="O378" s="18" t="str">
        <x:v> Low/high are -20%/+25% rate sensitivity, not observed market range.</x:v>
      </x:c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48" customHeight="1">
      <x:c r="A379" s="1" t="str">
        <x:v>MER-SHIRT-Booker-3T</x:v>
      </x:c>
      <x:c r="B379" s="1" t="str">
        <x:v>Merchandise</x:v>
      </x:c>
      <x:c r="C379" s="18" t="str">
        <x:v>Booker shirt blank 3T</x:v>
      </x:c>
      <x:c r="D379" s="18" t="str">
        <x:v>blank</x:v>
      </x:c>
      <x:c r="E379" s="32" t="n">
        <x:v>10</x:v>
      </x:c>
      <x:c r="F379" s="33" t="n">
        <x:v>3.2</x:v>
      </x:c>
      <x:c r="G379" s="33" t="n">
        <x:v>4</x:v>
      </x:c>
      <x:c r="H379" s="34" t="str">
        <x:v>inventory</x:v>
      </x:c>
      <x:c r="I379" s="33" t="n">
        <x:v>5</x:v>
      </x:c>
      <x:c r="J379" s="35" t="str">
        <x:v>Planning allowance; written quote needed</x:v>
      </x:c>
      <x:c r="K379" s="36" t="str">
        <x:v>ALLOW</x:v>
      </x:c>
      <x:c r="L379" s="37" t="n">
        <x:f>ROUND(E379*F379,2)</x:f>
        <x:v>32</x:v>
      </x:c>
      <x:c r="M379" s="37" t="n">
        <x:f>ROUND(E379*G379,2)</x:f>
        <x:v>40</x:v>
      </x:c>
      <x:c r="N379" s="37" t="n">
        <x:f>ROUND(E379*I379,2)</x:f>
        <x:v>50</x:v>
      </x:c>
      <x:c r="O379" s="18" t="str">
        <x:v> Low/high are -20%/+25% rate sensitivity, not observed market range.</x:v>
      </x:c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48" customHeight="1">
      <x:c r="A380" s="1" t="str">
        <x:v>MER-PRINT-Booker-3T</x:v>
      </x:c>
      <x:c r="B380" s="1" t="str">
        <x:v>Merchandise</x:v>
      </x:c>
      <x:c r="C380" s="18" t="str">
        <x:v>Booker shirt print 3T</x:v>
      </x:c>
      <x:c r="D380" s="18" t="str">
        <x:v>print</x:v>
      </x:c>
      <x:c r="E380" s="32" t="n">
        <x:v>10</x:v>
      </x:c>
      <x:c r="F380" s="33" t="n">
        <x:v>3.2</x:v>
      </x:c>
      <x:c r="G380" s="33" t="n">
        <x:v>4</x:v>
      </x:c>
      <x:c r="H380" s="34" t="str">
        <x:v>inventory</x:v>
      </x:c>
      <x:c r="I380" s="33" t="n">
        <x:v>5</x:v>
      </x:c>
      <x:c r="J380" s="35" t="str">
        <x:v>Planning allowance; written quote needed</x:v>
      </x:c>
      <x:c r="K380" s="36" t="str">
        <x:v>ALLOW</x:v>
      </x:c>
      <x:c r="L380" s="37" t="n">
        <x:f>ROUND(E380*F380,2)</x:f>
        <x:v>32</x:v>
      </x:c>
      <x:c r="M380" s="37" t="n">
        <x:f>ROUND(E380*G380,2)</x:f>
        <x:v>40</x:v>
      </x:c>
      <x:c r="N380" s="37" t="n">
        <x:f>ROUND(E380*I380,2)</x:f>
        <x:v>50</x:v>
      </x:c>
      <x:c r="O380" s="18" t="str">
        <x:v> Low/high are -20%/+25% rate sensitivity, not observed market range.</x:v>
      </x:c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48" customHeight="1">
      <x:c r="A381" s="1" t="str">
        <x:v>MER-SHIRT-Booker-4T</x:v>
      </x:c>
      <x:c r="B381" s="1" t="str">
        <x:v>Merchandise</x:v>
      </x:c>
      <x:c r="C381" s="18" t="str">
        <x:v>Booker shirt blank 4T</x:v>
      </x:c>
      <x:c r="D381" s="18" t="str">
        <x:v>blank</x:v>
      </x:c>
      <x:c r="E381" s="32" t="n">
        <x:v>10</x:v>
      </x:c>
      <x:c r="F381" s="33" t="n">
        <x:v>3.2</x:v>
      </x:c>
      <x:c r="G381" s="33" t="n">
        <x:v>4</x:v>
      </x:c>
      <x:c r="H381" s="34" t="str">
        <x:v>inventory</x:v>
      </x:c>
      <x:c r="I381" s="33" t="n">
        <x:v>5</x:v>
      </x:c>
      <x:c r="J381" s="35" t="str">
        <x:v>Planning allowance; written quote needed</x:v>
      </x:c>
      <x:c r="K381" s="36" t="str">
        <x:v>ALLOW</x:v>
      </x:c>
      <x:c r="L381" s="37" t="n">
        <x:f>ROUND(E381*F381,2)</x:f>
        <x:v>32</x:v>
      </x:c>
      <x:c r="M381" s="37" t="n">
        <x:f>ROUND(E381*G381,2)</x:f>
        <x:v>40</x:v>
      </x:c>
      <x:c r="N381" s="37" t="n">
        <x:f>ROUND(E381*I381,2)</x:f>
        <x:v>50</x:v>
      </x:c>
      <x:c r="O381" s="18" t="str">
        <x:v> Low/high are -20%/+25% rate sensitivity, not observed market range.</x:v>
      </x:c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48" customHeight="1">
      <x:c r="A382" s="1" t="str">
        <x:v>MER-PRINT-Booker-4T</x:v>
      </x:c>
      <x:c r="B382" s="1" t="str">
        <x:v>Merchandise</x:v>
      </x:c>
      <x:c r="C382" s="18" t="str">
        <x:v>Booker shirt print 4T</x:v>
      </x:c>
      <x:c r="D382" s="18" t="str">
        <x:v>print</x:v>
      </x:c>
      <x:c r="E382" s="32" t="n">
        <x:v>10</x:v>
      </x:c>
      <x:c r="F382" s="33" t="n">
        <x:v>3.2</x:v>
      </x:c>
      <x:c r="G382" s="33" t="n">
        <x:v>4</x:v>
      </x:c>
      <x:c r="H382" s="34" t="str">
        <x:v>inventory</x:v>
      </x:c>
      <x:c r="I382" s="33" t="n">
        <x:v>5</x:v>
      </x:c>
      <x:c r="J382" s="35" t="str">
        <x:v>Planning allowance; written quote needed</x:v>
      </x:c>
      <x:c r="K382" s="36" t="str">
        <x:v>ALLOW</x:v>
      </x:c>
      <x:c r="L382" s="37" t="n">
        <x:f>ROUND(E382*F382,2)</x:f>
        <x:v>32</x:v>
      </x:c>
      <x:c r="M382" s="37" t="n">
        <x:f>ROUND(E382*G382,2)</x:f>
        <x:v>40</x:v>
      </x:c>
      <x:c r="N382" s="37" t="n">
        <x:f>ROUND(E382*I382,2)</x:f>
        <x:v>50</x:v>
      </x:c>
      <x:c r="O382" s="18" t="str">
        <x:v> Low/high are -20%/+25% rate sensitivity, not observed market range.</x:v>
      </x:c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48" customHeight="1">
      <x:c r="A383" s="1" t="str">
        <x:v>MER-SHIRT-Booker-5T</x:v>
      </x:c>
      <x:c r="B383" s="1" t="str">
        <x:v>Merchandise</x:v>
      </x:c>
      <x:c r="C383" s="18" t="str">
        <x:v>Booker shirt blank 5T</x:v>
      </x:c>
      <x:c r="D383" s="18" t="str">
        <x:v>blank</x:v>
      </x:c>
      <x:c r="E383" s="32" t="n">
        <x:v>10</x:v>
      </x:c>
      <x:c r="F383" s="33" t="n">
        <x:v>3.2</x:v>
      </x:c>
      <x:c r="G383" s="33" t="n">
        <x:v>4</x:v>
      </x:c>
      <x:c r="H383" s="34" t="str">
        <x:v>inventory</x:v>
      </x:c>
      <x:c r="I383" s="33" t="n">
        <x:v>5</x:v>
      </x:c>
      <x:c r="J383" s="35" t="str">
        <x:v>Planning allowance; written quote needed</x:v>
      </x:c>
      <x:c r="K383" s="36" t="str">
        <x:v>ALLOW</x:v>
      </x:c>
      <x:c r="L383" s="37" t="n">
        <x:f>ROUND(E383*F383,2)</x:f>
        <x:v>32</x:v>
      </x:c>
      <x:c r="M383" s="37" t="n">
        <x:f>ROUND(E383*G383,2)</x:f>
        <x:v>40</x:v>
      </x:c>
      <x:c r="N383" s="37" t="n">
        <x:f>ROUND(E383*I383,2)</x:f>
        <x:v>50</x:v>
      </x:c>
      <x:c r="O383" s="18" t="str">
        <x:v> Low/high are -20%/+25% rate sensitivity, not observed market range.</x:v>
      </x:c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48" customHeight="1">
      <x:c r="A384" s="1" t="str">
        <x:v>MER-PRINT-Booker-5T</x:v>
      </x:c>
      <x:c r="B384" s="1" t="str">
        <x:v>Merchandise</x:v>
      </x:c>
      <x:c r="C384" s="18" t="str">
        <x:v>Booker shirt print 5T</x:v>
      </x:c>
      <x:c r="D384" s="18" t="str">
        <x:v>print</x:v>
      </x:c>
      <x:c r="E384" s="32" t="n">
        <x:v>10</x:v>
      </x:c>
      <x:c r="F384" s="33" t="n">
        <x:v>3.2</x:v>
      </x:c>
      <x:c r="G384" s="33" t="n">
        <x:v>4</x:v>
      </x:c>
      <x:c r="H384" s="34" t="str">
        <x:v>inventory</x:v>
      </x:c>
      <x:c r="I384" s="33" t="n">
        <x:v>5</x:v>
      </x:c>
      <x:c r="J384" s="35" t="str">
        <x:v>Planning allowance; written quote needed</x:v>
      </x:c>
      <x:c r="K384" s="36" t="str">
        <x:v>ALLOW</x:v>
      </x:c>
      <x:c r="L384" s="37" t="n">
        <x:f>ROUND(E384*F384,2)</x:f>
        <x:v>32</x:v>
      </x:c>
      <x:c r="M384" s="37" t="n">
        <x:f>ROUND(E384*G384,2)</x:f>
        <x:v>40</x:v>
      </x:c>
      <x:c r="N384" s="37" t="n">
        <x:f>ROUND(E384*I384,2)</x:f>
        <x:v>50</x:v>
      </x:c>
      <x:c r="O384" s="18" t="str">
        <x:v> Low/high are -20%/+25% rate sensitivity, not observed market range.</x:v>
      </x:c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48" customHeight="1">
      <x:c r="A385" s="1" t="str">
        <x:v>MER-POSTER-Booker-EN</x:v>
      </x:c>
      <x:c r="B385" s="1" t="str">
        <x:v>Merchandise</x:v>
      </x:c>
      <x:c r="C385" s="18" t="str">
        <x:v>Booker zone poster EN</x:v>
      </x:c>
      <x:c r="D385" s="18" t="str">
        <x:v>poster</x:v>
      </x:c>
      <x:c r="E385" s="32" t="n">
        <x:v>10</x:v>
      </x:c>
      <x:c r="F385" s="33" t="n">
        <x:v>6.4</x:v>
      </x:c>
      <x:c r="G385" s="33" t="n">
        <x:v>8</x:v>
      </x:c>
      <x:c r="H385" s="34" t="str">
        <x:v>inventory</x:v>
      </x:c>
      <x:c r="I385" s="33" t="n">
        <x:v>10</x:v>
      </x:c>
      <x:c r="J385" s="35" t="str">
        <x:v>Planning allowance; written quote needed</x:v>
      </x:c>
      <x:c r="K385" s="36" t="str">
        <x:v>ALLOW</x:v>
      </x:c>
      <x:c r="L385" s="37" t="n">
        <x:f>ROUND(E385*F385,2)</x:f>
        <x:v>64</x:v>
      </x:c>
      <x:c r="M385" s="37" t="n">
        <x:f>ROUND(E385*G385,2)</x:f>
        <x:v>80</x:v>
      </x:c>
      <x:c r="N385" s="37" t="n">
        <x:f>ROUND(E385*I385,2)</x:f>
        <x:v>100</x:v>
      </x:c>
      <x:c r="O385" s="18" t="str">
        <x:v> Low/high are -20%/+25% rate sensitivity, not observed market range.</x:v>
      </x:c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48" customHeight="1">
      <x:c r="A386" s="1" t="str">
        <x:v>MER-POSTER-Booker-ES</x:v>
      </x:c>
      <x:c r="B386" s="1" t="str">
        <x:v>Merchandise</x:v>
      </x:c>
      <x:c r="C386" s="18" t="str">
        <x:v>Booker zone poster ES</x:v>
      </x:c>
      <x:c r="D386" s="18" t="str">
        <x:v>poster</x:v>
      </x:c>
      <x:c r="E386" s="32" t="n">
        <x:v>10</x:v>
      </x:c>
      <x:c r="F386" s="33" t="n">
        <x:v>6.4</x:v>
      </x:c>
      <x:c r="G386" s="33" t="n">
        <x:v>8</x:v>
      </x:c>
      <x:c r="H386" s="34" t="str">
        <x:v>inventory</x:v>
      </x:c>
      <x:c r="I386" s="33" t="n">
        <x:v>10</x:v>
      </x:c>
      <x:c r="J386" s="35" t="str">
        <x:v>Planning allowance; written quote needed</x:v>
      </x:c>
      <x:c r="K386" s="36" t="str">
        <x:v>ALLOW</x:v>
      </x:c>
      <x:c r="L386" s="37" t="n">
        <x:f>ROUND(E386*F386,2)</x:f>
        <x:v>64</x:v>
      </x:c>
      <x:c r="M386" s="37" t="n">
        <x:f>ROUND(E386*G386,2)</x:f>
        <x:v>80</x:v>
      </x:c>
      <x:c r="N386" s="37" t="n">
        <x:f>ROUND(E386*I386,2)</x:f>
        <x:v>100</x:v>
      </x:c>
      <x:c r="O386" s="18" t="str">
        <x:v> Low/high are -20%/+25% rate sensitivity, not observed market range.</x:v>
      </x:c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48" customHeight="1">
      <x:c r="A387" s="1" t="str">
        <x:v>MER-PLUSH-Lumi</x:v>
      </x:c>
      <x:c r="B387" s="1" t="str">
        <x:v>Merchandise</x:v>
      </x:c>
      <x:c r="C387" s="18" t="str">
        <x:v>Lumi plush</x:v>
      </x:c>
      <x:c r="D387" s="18" t="str">
        <x:v>plush</x:v>
      </x:c>
      <x:c r="E387" s="32" t="n">
        <x:v>50</x:v>
      </x:c>
      <x:c r="F387" s="33" t="n">
        <x:v>9.6</x:v>
      </x:c>
      <x:c r="G387" s="33" t="n">
        <x:v>12</x:v>
      </x:c>
      <x:c r="H387" s="34" t="str">
        <x:v>inventory</x:v>
      </x:c>
      <x:c r="I387" s="33" t="n">
        <x:v>15</x:v>
      </x:c>
      <x:c r="J387" s="35" t="str">
        <x:v>Planning allowance; written quote needed</x:v>
      </x:c>
      <x:c r="K387" s="36" t="str">
        <x:v>ALLOW</x:v>
      </x:c>
      <x:c r="L387" s="37" t="n">
        <x:f>ROUND(E387*F387,2)</x:f>
        <x:v>480</x:v>
      </x:c>
      <x:c r="M387" s="37" t="n">
        <x:f>ROUND(E387*G387,2)</x:f>
        <x:v>600</x:v>
      </x:c>
      <x:c r="N387" s="37" t="n">
        <x:f>ROUND(E387*I387,2)</x:f>
        <x:v>750</x:v>
      </x:c>
      <x:c r="O387" s="18" t="str">
        <x:v>Factory unit allowance. MOQ, safety, landed pricing require quote. Low/high are -20%/+25% rate sensitivity, not observed market range.</x:v>
      </x:c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48" customHeight="1">
      <x:c r="A388" s="1" t="str">
        <x:v>MER-RUG-Lumi</x:v>
      </x:c>
      <x:c r="B388" s="1" t="str">
        <x:v>Merchandise</x:v>
      </x:c>
      <x:c r="C388" s="18" t="str">
        <x:v>Lumi rug</x:v>
      </x:c>
      <x:c r="D388" s="18" t="str">
        <x:v>carpet</x:v>
      </x:c>
      <x:c r="E388" s="32" t="n">
        <x:v>5</x:v>
      </x:c>
      <x:c r="F388" s="33" t="n">
        <x:v>140</x:v>
      </x:c>
      <x:c r="G388" s="33" t="n">
        <x:v>175</x:v>
      </x:c>
      <x:c r="H388" s="34" t="str">
        <x:v>inventory</x:v>
      </x:c>
      <x:c r="I388" s="33" t="n">
        <x:v>218.75</x:v>
      </x:c>
      <x:c r="J388" s="35" t="str">
        <x:v>Planning allowance; written quote needed</x:v>
      </x:c>
      <x:c r="K388" s="36" t="str">
        <x:v>ALLOW</x:v>
      </x:c>
      <x:c r="L388" s="37" t="n">
        <x:f>ROUND(E388*F388,2)</x:f>
        <x:v>700</x:v>
      </x:c>
      <x:c r="M388" s="37" t="n">
        <x:f>ROUND(E388*G388,2)</x:f>
        <x:v>875</x:v>
      </x:c>
      <x:c r="N388" s="37" t="n">
        <x:f>ROUND(E388*I388,2)</x:f>
        <x:v>1093.75</x:v>
      </x:c>
      <x:c r="O388" s="18" t="str">
        <x:v>Factory unit allowance. MOQ, safety, landed pricing require quote. Low/high are -20%/+25% rate sensitivity, not observed market range.</x:v>
      </x:c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48" customHeight="1">
      <x:c r="A389" s="1" t="str">
        <x:v>MER-BOTTLE-Lumi</x:v>
      </x:c>
      <x:c r="B389" s="1" t="str">
        <x:v>Merchandise</x:v>
      </x:c>
      <x:c r="C389" s="18" t="str">
        <x:v>Lumi bottle</x:v>
      </x:c>
      <x:c r="D389" s="18" t="str">
        <x:v>bottle</x:v>
      </x:c>
      <x:c r="E389" s="32" t="n">
        <x:v>25</x:v>
      </x:c>
      <x:c r="F389" s="33" t="n">
        <x:v>8</x:v>
      </x:c>
      <x:c r="G389" s="33" t="n">
        <x:v>10</x:v>
      </x:c>
      <x:c r="H389" s="34" t="str">
        <x:v>inventory</x:v>
      </x:c>
      <x:c r="I389" s="33" t="n">
        <x:v>12.5</x:v>
      </x:c>
      <x:c r="J389" s="35" t="str">
        <x:v>Planning allowance; written quote needed</x:v>
      </x:c>
      <x:c r="K389" s="36" t="str">
        <x:v>ALLOW</x:v>
      </x:c>
      <x:c r="L389" s="37" t="n">
        <x:f>ROUND(E389*F389,2)</x:f>
        <x:v>200</x:v>
      </x:c>
      <x:c r="M389" s="37" t="n">
        <x:f>ROUND(E389*G389,2)</x:f>
        <x:v>250</x:v>
      </x:c>
      <x:c r="N389" s="37" t="n">
        <x:f>ROUND(E389*I389,2)</x:f>
        <x:v>312.5</x:v>
      </x:c>
      <x:c r="O389" s="18" t="str">
        <x:v>Factory unit allowance. MOQ, safety, landed pricing require quote. Low/high are -20%/+25% rate sensitivity, not observed market range.</x:v>
      </x:c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48" customHeight="1">
      <x:c r="A390" s="1" t="str">
        <x:v>MER-BAG-Lumi</x:v>
      </x:c>
      <x:c r="B390" s="1" t="str">
        <x:v>Merchandise</x:v>
      </x:c>
      <x:c r="C390" s="18" t="str">
        <x:v>Lumi bag</x:v>
      </x:c>
      <x:c r="D390" s="18" t="str">
        <x:v>backpack</x:v>
      </x:c>
      <x:c r="E390" s="32" t="n">
        <x:v>25</x:v>
      </x:c>
      <x:c r="F390" s="33" t="n">
        <x:v>12</x:v>
      </x:c>
      <x:c r="G390" s="33" t="n">
        <x:v>15</x:v>
      </x:c>
      <x:c r="H390" s="34" t="str">
        <x:v>inventory</x:v>
      </x:c>
      <x:c r="I390" s="33" t="n">
        <x:v>18.75</x:v>
      </x:c>
      <x:c r="J390" s="35" t="str">
        <x:v>Planning allowance; written quote needed</x:v>
      </x:c>
      <x:c r="K390" s="36" t="str">
        <x:v>ALLOW</x:v>
      </x:c>
      <x:c r="L390" s="37" t="n">
        <x:f>ROUND(E390*F390,2)</x:f>
        <x:v>300</x:v>
      </x:c>
      <x:c r="M390" s="37" t="n">
        <x:f>ROUND(E390*G390,2)</x:f>
        <x:v>375</x:v>
      </x:c>
      <x:c r="N390" s="37" t="n">
        <x:f>ROUND(E390*I390,2)</x:f>
        <x:v>468.75</x:v>
      </x:c>
      <x:c r="O390" s="18" t="str">
        <x:v>Factory unit allowance. MOQ, safety, landed pricing require quote. Low/high are -20%/+25% rate sensitivity, not observed market range.</x:v>
      </x:c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48" customHeight="1">
      <x:c r="A391" s="1" t="str">
        <x:v>MER-SHIRT-Lumi-2T</x:v>
      </x:c>
      <x:c r="B391" s="1" t="str">
        <x:v>Merchandise</x:v>
      </x:c>
      <x:c r="C391" s="18" t="str">
        <x:v>Lumi shirt blank 2T</x:v>
      </x:c>
      <x:c r="D391" s="18" t="str">
        <x:v>blank</x:v>
      </x:c>
      <x:c r="E391" s="32" t="n">
        <x:v>10</x:v>
      </x:c>
      <x:c r="F391" s="33" t="n">
        <x:v>3.2</x:v>
      </x:c>
      <x:c r="G391" s="33" t="n">
        <x:v>4</x:v>
      </x:c>
      <x:c r="H391" s="34" t="str">
        <x:v>inventory</x:v>
      </x:c>
      <x:c r="I391" s="33" t="n">
        <x:v>5</x:v>
      </x:c>
      <x:c r="J391" s="35" t="str">
        <x:v>Planning allowance; written quote needed</x:v>
      </x:c>
      <x:c r="K391" s="36" t="str">
        <x:v>ALLOW</x:v>
      </x:c>
      <x:c r="L391" s="37" t="n">
        <x:f>ROUND(E391*F391,2)</x:f>
        <x:v>32</x:v>
      </x:c>
      <x:c r="M391" s="37" t="n">
        <x:f>ROUND(E391*G391,2)</x:f>
        <x:v>40</x:v>
      </x:c>
      <x:c r="N391" s="37" t="n">
        <x:f>ROUND(E391*I391,2)</x:f>
        <x:v>50</x:v>
      </x:c>
      <x:c r="O391" s="18" t="str">
        <x:v> Low/high are -20%/+25% rate sensitivity, not observed market range.</x:v>
      </x:c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48" customHeight="1">
      <x:c r="A392" s="1" t="str">
        <x:v>MER-PRINT-Lumi-2T</x:v>
      </x:c>
      <x:c r="B392" s="1" t="str">
        <x:v>Merchandise</x:v>
      </x:c>
      <x:c r="C392" s="18" t="str">
        <x:v>Lumi shirt print 2T</x:v>
      </x:c>
      <x:c r="D392" s="18" t="str">
        <x:v>print</x:v>
      </x:c>
      <x:c r="E392" s="32" t="n">
        <x:v>10</x:v>
      </x:c>
      <x:c r="F392" s="33" t="n">
        <x:v>3.2</x:v>
      </x:c>
      <x:c r="G392" s="33" t="n">
        <x:v>4</x:v>
      </x:c>
      <x:c r="H392" s="34" t="str">
        <x:v>inventory</x:v>
      </x:c>
      <x:c r="I392" s="33" t="n">
        <x:v>5</x:v>
      </x:c>
      <x:c r="J392" s="35" t="str">
        <x:v>Planning allowance; written quote needed</x:v>
      </x:c>
      <x:c r="K392" s="36" t="str">
        <x:v>ALLOW</x:v>
      </x:c>
      <x:c r="L392" s="37" t="n">
        <x:f>ROUND(E392*F392,2)</x:f>
        <x:v>32</x:v>
      </x:c>
      <x:c r="M392" s="37" t="n">
        <x:f>ROUND(E392*G392,2)</x:f>
        <x:v>40</x:v>
      </x:c>
      <x:c r="N392" s="37" t="n">
        <x:f>ROUND(E392*I392,2)</x:f>
        <x:v>50</x:v>
      </x:c>
      <x:c r="O392" s="18" t="str">
        <x:v> Low/high are -20%/+25% rate sensitivity, not observed market range.</x:v>
      </x:c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48" customHeight="1">
      <x:c r="A393" s="1" t="str">
        <x:v>MER-SHIRT-Lumi-3T</x:v>
      </x:c>
      <x:c r="B393" s="1" t="str">
        <x:v>Merchandise</x:v>
      </x:c>
      <x:c r="C393" s="18" t="str">
        <x:v>Lumi shirt blank 3T</x:v>
      </x:c>
      <x:c r="D393" s="18" t="str">
        <x:v>blank</x:v>
      </x:c>
      <x:c r="E393" s="32" t="n">
        <x:v>10</x:v>
      </x:c>
      <x:c r="F393" s="33" t="n">
        <x:v>3.2</x:v>
      </x:c>
      <x:c r="G393" s="33" t="n">
        <x:v>4</x:v>
      </x:c>
      <x:c r="H393" s="34" t="str">
        <x:v>inventory</x:v>
      </x:c>
      <x:c r="I393" s="33" t="n">
        <x:v>5</x:v>
      </x:c>
      <x:c r="J393" s="35" t="str">
        <x:v>Planning allowance; written quote needed</x:v>
      </x:c>
      <x:c r="K393" s="36" t="str">
        <x:v>ALLOW</x:v>
      </x:c>
      <x:c r="L393" s="37" t="n">
        <x:f>ROUND(E393*F393,2)</x:f>
        <x:v>32</x:v>
      </x:c>
      <x:c r="M393" s="37" t="n">
        <x:f>ROUND(E393*G393,2)</x:f>
        <x:v>40</x:v>
      </x:c>
      <x:c r="N393" s="37" t="n">
        <x:f>ROUND(E393*I393,2)</x:f>
        <x:v>50</x:v>
      </x:c>
      <x:c r="O393" s="18" t="str">
        <x:v> Low/high are -20%/+25% rate sensitivity, not observed market range.</x:v>
      </x:c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48" customHeight="1">
      <x:c r="A394" s="1" t="str">
        <x:v>MER-PRINT-Lumi-3T</x:v>
      </x:c>
      <x:c r="B394" s="1" t="str">
        <x:v>Merchandise</x:v>
      </x:c>
      <x:c r="C394" s="18" t="str">
        <x:v>Lumi shirt print 3T</x:v>
      </x:c>
      <x:c r="D394" s="18" t="str">
        <x:v>print</x:v>
      </x:c>
      <x:c r="E394" s="32" t="n">
        <x:v>10</x:v>
      </x:c>
      <x:c r="F394" s="33" t="n">
        <x:v>3.2</x:v>
      </x:c>
      <x:c r="G394" s="33" t="n">
        <x:v>4</x:v>
      </x:c>
      <x:c r="H394" s="34" t="str">
        <x:v>inventory</x:v>
      </x:c>
      <x:c r="I394" s="33" t="n">
        <x:v>5</x:v>
      </x:c>
      <x:c r="J394" s="35" t="str">
        <x:v>Planning allowance; written quote needed</x:v>
      </x:c>
      <x:c r="K394" s="36" t="str">
        <x:v>ALLOW</x:v>
      </x:c>
      <x:c r="L394" s="37" t="n">
        <x:f>ROUND(E394*F394,2)</x:f>
        <x:v>32</x:v>
      </x:c>
      <x:c r="M394" s="37" t="n">
        <x:f>ROUND(E394*G394,2)</x:f>
        <x:v>40</x:v>
      </x:c>
      <x:c r="N394" s="37" t="n">
        <x:f>ROUND(E394*I394,2)</x:f>
        <x:v>50</x:v>
      </x:c>
      <x:c r="O394" s="18" t="str">
        <x:v> Low/high are -20%/+25% rate sensitivity, not observed market range.</x:v>
      </x:c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48" customHeight="1">
      <x:c r="A395" s="1" t="str">
        <x:v>MER-SHIRT-Lumi-4T</x:v>
      </x:c>
      <x:c r="B395" s="1" t="str">
        <x:v>Merchandise</x:v>
      </x:c>
      <x:c r="C395" s="18" t="str">
        <x:v>Lumi shirt blank 4T</x:v>
      </x:c>
      <x:c r="D395" s="18" t="str">
        <x:v>blank</x:v>
      </x:c>
      <x:c r="E395" s="32" t="n">
        <x:v>10</x:v>
      </x:c>
      <x:c r="F395" s="33" t="n">
        <x:v>3.2</x:v>
      </x:c>
      <x:c r="G395" s="33" t="n">
        <x:v>4</x:v>
      </x:c>
      <x:c r="H395" s="34" t="str">
        <x:v>inventory</x:v>
      </x:c>
      <x:c r="I395" s="33" t="n">
        <x:v>5</x:v>
      </x:c>
      <x:c r="J395" s="35" t="str">
        <x:v>Planning allowance; written quote needed</x:v>
      </x:c>
      <x:c r="K395" s="36" t="str">
        <x:v>ALLOW</x:v>
      </x:c>
      <x:c r="L395" s="37" t="n">
        <x:f>ROUND(E395*F395,2)</x:f>
        <x:v>32</x:v>
      </x:c>
      <x:c r="M395" s="37" t="n">
        <x:f>ROUND(E395*G395,2)</x:f>
        <x:v>40</x:v>
      </x:c>
      <x:c r="N395" s="37" t="n">
        <x:f>ROUND(E395*I395,2)</x:f>
        <x:v>50</x:v>
      </x:c>
      <x:c r="O395" s="18" t="str">
        <x:v> Low/high are -20%/+25% rate sensitivity, not observed market range.</x:v>
      </x:c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48" customHeight="1">
      <x:c r="A396" s="1" t="str">
        <x:v>MER-PRINT-Lumi-4T</x:v>
      </x:c>
      <x:c r="B396" s="1" t="str">
        <x:v>Merchandise</x:v>
      </x:c>
      <x:c r="C396" s="18" t="str">
        <x:v>Lumi shirt print 4T</x:v>
      </x:c>
      <x:c r="D396" s="18" t="str">
        <x:v>print</x:v>
      </x:c>
      <x:c r="E396" s="32" t="n">
        <x:v>10</x:v>
      </x:c>
      <x:c r="F396" s="33" t="n">
        <x:v>3.2</x:v>
      </x:c>
      <x:c r="G396" s="33" t="n">
        <x:v>4</x:v>
      </x:c>
      <x:c r="H396" s="34" t="str">
        <x:v>inventory</x:v>
      </x:c>
      <x:c r="I396" s="33" t="n">
        <x:v>5</x:v>
      </x:c>
      <x:c r="J396" s="35" t="str">
        <x:v>Planning allowance; written quote needed</x:v>
      </x:c>
      <x:c r="K396" s="36" t="str">
        <x:v>ALLOW</x:v>
      </x:c>
      <x:c r="L396" s="37" t="n">
        <x:f>ROUND(E396*F396,2)</x:f>
        <x:v>32</x:v>
      </x:c>
      <x:c r="M396" s="37" t="n">
        <x:f>ROUND(E396*G396,2)</x:f>
        <x:v>40</x:v>
      </x:c>
      <x:c r="N396" s="37" t="n">
        <x:f>ROUND(E396*I396,2)</x:f>
        <x:v>50</x:v>
      </x:c>
      <x:c r="O396" s="18" t="str">
        <x:v> Low/high are -20%/+25% rate sensitivity, not observed market range.</x:v>
      </x:c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48" customHeight="1">
      <x:c r="A397" s="1" t="str">
        <x:v>MER-SHIRT-Lumi-5T</x:v>
      </x:c>
      <x:c r="B397" s="1" t="str">
        <x:v>Merchandise</x:v>
      </x:c>
      <x:c r="C397" s="18" t="str">
        <x:v>Lumi shirt blank 5T</x:v>
      </x:c>
      <x:c r="D397" s="18" t="str">
        <x:v>blank</x:v>
      </x:c>
      <x:c r="E397" s="32" t="n">
        <x:v>10</x:v>
      </x:c>
      <x:c r="F397" s="33" t="n">
        <x:v>3.2</x:v>
      </x:c>
      <x:c r="G397" s="33" t="n">
        <x:v>4</x:v>
      </x:c>
      <x:c r="H397" s="34" t="str">
        <x:v>inventory</x:v>
      </x:c>
      <x:c r="I397" s="33" t="n">
        <x:v>5</x:v>
      </x:c>
      <x:c r="J397" s="35" t="str">
        <x:v>Planning allowance; written quote needed</x:v>
      </x:c>
      <x:c r="K397" s="36" t="str">
        <x:v>ALLOW</x:v>
      </x:c>
      <x:c r="L397" s="37" t="n">
        <x:f>ROUND(E397*F397,2)</x:f>
        <x:v>32</x:v>
      </x:c>
      <x:c r="M397" s="37" t="n">
        <x:f>ROUND(E397*G397,2)</x:f>
        <x:v>40</x:v>
      </x:c>
      <x:c r="N397" s="37" t="n">
        <x:f>ROUND(E397*I397,2)</x:f>
        <x:v>50</x:v>
      </x:c>
      <x:c r="O397" s="18" t="str">
        <x:v> Low/high are -20%/+25% rate sensitivity, not observed market range.</x:v>
      </x:c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48" customHeight="1">
      <x:c r="A398" s="1" t="str">
        <x:v>MER-PRINT-Lumi-5T</x:v>
      </x:c>
      <x:c r="B398" s="1" t="str">
        <x:v>Merchandise</x:v>
      </x:c>
      <x:c r="C398" s="18" t="str">
        <x:v>Lumi shirt print 5T</x:v>
      </x:c>
      <x:c r="D398" s="18" t="str">
        <x:v>print</x:v>
      </x:c>
      <x:c r="E398" s="32" t="n">
        <x:v>10</x:v>
      </x:c>
      <x:c r="F398" s="33" t="n">
        <x:v>3.2</x:v>
      </x:c>
      <x:c r="G398" s="33" t="n">
        <x:v>4</x:v>
      </x:c>
      <x:c r="H398" s="34" t="str">
        <x:v>inventory</x:v>
      </x:c>
      <x:c r="I398" s="33" t="n">
        <x:v>5</x:v>
      </x:c>
      <x:c r="J398" s="35" t="str">
        <x:v>Planning allowance; written quote needed</x:v>
      </x:c>
      <x:c r="K398" s="36" t="str">
        <x:v>ALLOW</x:v>
      </x:c>
      <x:c r="L398" s="37" t="n">
        <x:f>ROUND(E398*F398,2)</x:f>
        <x:v>32</x:v>
      </x:c>
      <x:c r="M398" s="37" t="n">
        <x:f>ROUND(E398*G398,2)</x:f>
        <x:v>40</x:v>
      </x:c>
      <x:c r="N398" s="37" t="n">
        <x:f>ROUND(E398*I398,2)</x:f>
        <x:v>50</x:v>
      </x:c>
      <x:c r="O398" s="18" t="str">
        <x:v> Low/high are -20%/+25% rate sensitivity, not observed market range.</x:v>
      </x:c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48" customHeight="1">
      <x:c r="A399" s="1" t="str">
        <x:v>MER-POSTER-Lumi-EN</x:v>
      </x:c>
      <x:c r="B399" s="1" t="str">
        <x:v>Merchandise</x:v>
      </x:c>
      <x:c r="C399" s="18" t="str">
        <x:v>Lumi zone poster EN</x:v>
      </x:c>
      <x:c r="D399" s="18" t="str">
        <x:v>poster</x:v>
      </x:c>
      <x:c r="E399" s="32" t="n">
        <x:v>10</x:v>
      </x:c>
      <x:c r="F399" s="33" t="n">
        <x:v>6.4</x:v>
      </x:c>
      <x:c r="G399" s="33" t="n">
        <x:v>8</x:v>
      </x:c>
      <x:c r="H399" s="34" t="str">
        <x:v>inventory</x:v>
      </x:c>
      <x:c r="I399" s="33" t="n">
        <x:v>10</x:v>
      </x:c>
      <x:c r="J399" s="35" t="str">
        <x:v>Planning allowance; written quote needed</x:v>
      </x:c>
      <x:c r="K399" s="36" t="str">
        <x:v>ALLOW</x:v>
      </x:c>
      <x:c r="L399" s="37" t="n">
        <x:f>ROUND(E399*F399,2)</x:f>
        <x:v>64</x:v>
      </x:c>
      <x:c r="M399" s="37" t="n">
        <x:f>ROUND(E399*G399,2)</x:f>
        <x:v>80</x:v>
      </x:c>
      <x:c r="N399" s="37" t="n">
        <x:f>ROUND(E399*I399,2)</x:f>
        <x:v>100</x:v>
      </x:c>
      <x:c r="O399" s="18" t="str">
        <x:v> Low/high are -20%/+25% rate sensitivity, not observed market range.</x:v>
      </x:c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48" customHeight="1">
      <x:c r="A400" s="1" t="str">
        <x:v>MER-POSTER-Lumi-ES</x:v>
      </x:c>
      <x:c r="B400" s="1" t="str">
        <x:v>Merchandise</x:v>
      </x:c>
      <x:c r="C400" s="18" t="str">
        <x:v>Lumi zone poster ES</x:v>
      </x:c>
      <x:c r="D400" s="18" t="str">
        <x:v>poster</x:v>
      </x:c>
      <x:c r="E400" s="32" t="n">
        <x:v>10</x:v>
      </x:c>
      <x:c r="F400" s="33" t="n">
        <x:v>6.4</x:v>
      </x:c>
      <x:c r="G400" s="33" t="n">
        <x:v>8</x:v>
      </x:c>
      <x:c r="H400" s="34" t="str">
        <x:v>inventory</x:v>
      </x:c>
      <x:c r="I400" s="33" t="n">
        <x:v>10</x:v>
      </x:c>
      <x:c r="J400" s="35" t="str">
        <x:v>Planning allowance; written quote needed</x:v>
      </x:c>
      <x:c r="K400" s="36" t="str">
        <x:v>ALLOW</x:v>
      </x:c>
      <x:c r="L400" s="37" t="n">
        <x:f>ROUND(E400*F400,2)</x:f>
        <x:v>64</x:v>
      </x:c>
      <x:c r="M400" s="37" t="n">
        <x:f>ROUND(E400*G400,2)</x:f>
        <x:v>80</x:v>
      </x:c>
      <x:c r="N400" s="37" t="n">
        <x:f>ROUND(E400*I400,2)</x:f>
        <x:v>100</x:v>
      </x:c>
      <x:c r="O400" s="18" t="str">
        <x:v> Low/high are -20%/+25% rate sensitivity, not observed market range.</x:v>
      </x:c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48" customHeight="1">
      <x:c r="A401" s="1" t="str">
        <x:v>MER-PLUSH-Zuri</x:v>
      </x:c>
      <x:c r="B401" s="1" t="str">
        <x:v>Merchandise</x:v>
      </x:c>
      <x:c r="C401" s="18" t="str">
        <x:v>Zuri plush</x:v>
      </x:c>
      <x:c r="D401" s="18" t="str">
        <x:v>plush</x:v>
      </x:c>
      <x:c r="E401" s="32" t="n">
        <x:v>50</x:v>
      </x:c>
      <x:c r="F401" s="33" t="n">
        <x:v>9.6</x:v>
      </x:c>
      <x:c r="G401" s="33" t="n">
        <x:v>12</x:v>
      </x:c>
      <x:c r="H401" s="34" t="str">
        <x:v>inventory</x:v>
      </x:c>
      <x:c r="I401" s="33" t="n">
        <x:v>15</x:v>
      </x:c>
      <x:c r="J401" s="35" t="str">
        <x:v>Planning allowance; written quote needed</x:v>
      </x:c>
      <x:c r="K401" s="36" t="str">
        <x:v>ALLOW</x:v>
      </x:c>
      <x:c r="L401" s="37" t="n">
        <x:f>ROUND(E401*F401,2)</x:f>
        <x:v>480</x:v>
      </x:c>
      <x:c r="M401" s="37" t="n">
        <x:f>ROUND(E401*G401,2)</x:f>
        <x:v>600</x:v>
      </x:c>
      <x:c r="N401" s="37" t="n">
        <x:f>ROUND(E401*I401,2)</x:f>
        <x:v>750</x:v>
      </x:c>
      <x:c r="O401" s="18" t="str">
        <x:v>Factory unit allowance. MOQ, safety, landed pricing require quote. Low/high are -20%/+25% rate sensitivity, not observed market range.</x:v>
      </x:c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48" customHeight="1">
      <x:c r="A402" s="1" t="str">
        <x:v>MER-RUG-Zuri</x:v>
      </x:c>
      <x:c r="B402" s="1" t="str">
        <x:v>Merchandise</x:v>
      </x:c>
      <x:c r="C402" s="18" t="str">
        <x:v>Zuri rug</x:v>
      </x:c>
      <x:c r="D402" s="18" t="str">
        <x:v>carpet</x:v>
      </x:c>
      <x:c r="E402" s="32" t="n">
        <x:v>5</x:v>
      </x:c>
      <x:c r="F402" s="33" t="n">
        <x:v>140</x:v>
      </x:c>
      <x:c r="G402" s="33" t="n">
        <x:v>175</x:v>
      </x:c>
      <x:c r="H402" s="34" t="str">
        <x:v>inventory</x:v>
      </x:c>
      <x:c r="I402" s="33" t="n">
        <x:v>218.75</x:v>
      </x:c>
      <x:c r="J402" s="35" t="str">
        <x:v>Planning allowance; written quote needed</x:v>
      </x:c>
      <x:c r="K402" s="36" t="str">
        <x:v>ALLOW</x:v>
      </x:c>
      <x:c r="L402" s="37" t="n">
        <x:f>ROUND(E402*F402,2)</x:f>
        <x:v>700</x:v>
      </x:c>
      <x:c r="M402" s="37" t="n">
        <x:f>ROUND(E402*G402,2)</x:f>
        <x:v>875</x:v>
      </x:c>
      <x:c r="N402" s="37" t="n">
        <x:f>ROUND(E402*I402,2)</x:f>
        <x:v>1093.75</x:v>
      </x:c>
      <x:c r="O402" s="18" t="str">
        <x:v>Factory unit allowance. MOQ, safety, landed pricing require quote. Low/high are -20%/+25% rate sensitivity, not observed market range.</x:v>
      </x:c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48" customHeight="1">
      <x:c r="A403" s="1" t="str">
        <x:v>MER-BOTTLE-Zuri</x:v>
      </x:c>
      <x:c r="B403" s="1" t="str">
        <x:v>Merchandise</x:v>
      </x:c>
      <x:c r="C403" s="18" t="str">
        <x:v>Zuri bottle</x:v>
      </x:c>
      <x:c r="D403" s="18" t="str">
        <x:v>bottle</x:v>
      </x:c>
      <x:c r="E403" s="32" t="n">
        <x:v>25</x:v>
      </x:c>
      <x:c r="F403" s="33" t="n">
        <x:v>8</x:v>
      </x:c>
      <x:c r="G403" s="33" t="n">
        <x:v>10</x:v>
      </x:c>
      <x:c r="H403" s="34" t="str">
        <x:v>inventory</x:v>
      </x:c>
      <x:c r="I403" s="33" t="n">
        <x:v>12.5</x:v>
      </x:c>
      <x:c r="J403" s="35" t="str">
        <x:v>Planning allowance; written quote needed</x:v>
      </x:c>
      <x:c r="K403" s="36" t="str">
        <x:v>ALLOW</x:v>
      </x:c>
      <x:c r="L403" s="37" t="n">
        <x:f>ROUND(E403*F403,2)</x:f>
        <x:v>200</x:v>
      </x:c>
      <x:c r="M403" s="37" t="n">
        <x:f>ROUND(E403*G403,2)</x:f>
        <x:v>250</x:v>
      </x:c>
      <x:c r="N403" s="37" t="n">
        <x:f>ROUND(E403*I403,2)</x:f>
        <x:v>312.5</x:v>
      </x:c>
      <x:c r="O403" s="18" t="str">
        <x:v>Factory unit allowance. MOQ, safety, landed pricing require quote. Low/high are -20%/+25% rate sensitivity, not observed market range.</x:v>
      </x:c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48" customHeight="1">
      <x:c r="A404" s="1" t="str">
        <x:v>MER-BAG-Zuri</x:v>
      </x:c>
      <x:c r="B404" s="1" t="str">
        <x:v>Merchandise</x:v>
      </x:c>
      <x:c r="C404" s="18" t="str">
        <x:v>Zuri bag</x:v>
      </x:c>
      <x:c r="D404" s="18" t="str">
        <x:v>backpack</x:v>
      </x:c>
      <x:c r="E404" s="32" t="n">
        <x:v>25</x:v>
      </x:c>
      <x:c r="F404" s="33" t="n">
        <x:v>12</x:v>
      </x:c>
      <x:c r="G404" s="33" t="n">
        <x:v>15</x:v>
      </x:c>
      <x:c r="H404" s="34" t="str">
        <x:v>inventory</x:v>
      </x:c>
      <x:c r="I404" s="33" t="n">
        <x:v>18.75</x:v>
      </x:c>
      <x:c r="J404" s="35" t="str">
        <x:v>Planning allowance; written quote needed</x:v>
      </x:c>
      <x:c r="K404" s="36" t="str">
        <x:v>ALLOW</x:v>
      </x:c>
      <x:c r="L404" s="37" t="n">
        <x:f>ROUND(E404*F404,2)</x:f>
        <x:v>300</x:v>
      </x:c>
      <x:c r="M404" s="37" t="n">
        <x:f>ROUND(E404*G404,2)</x:f>
        <x:v>375</x:v>
      </x:c>
      <x:c r="N404" s="37" t="n">
        <x:f>ROUND(E404*I404,2)</x:f>
        <x:v>468.75</x:v>
      </x:c>
      <x:c r="O404" s="18" t="str">
        <x:v>Factory unit allowance. MOQ, safety, landed pricing require quote. Low/high are -20%/+25% rate sensitivity, not observed market range.</x:v>
      </x:c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48" customHeight="1">
      <x:c r="A405" s="1" t="str">
        <x:v>MER-SHIRT-Zuri-2T</x:v>
      </x:c>
      <x:c r="B405" s="1" t="str">
        <x:v>Merchandise</x:v>
      </x:c>
      <x:c r="C405" s="18" t="str">
        <x:v>Zuri shirt blank 2T</x:v>
      </x:c>
      <x:c r="D405" s="18" t="str">
        <x:v>blank</x:v>
      </x:c>
      <x:c r="E405" s="32" t="n">
        <x:v>10</x:v>
      </x:c>
      <x:c r="F405" s="33" t="n">
        <x:v>3.2</x:v>
      </x:c>
      <x:c r="G405" s="33" t="n">
        <x:v>4</x:v>
      </x:c>
      <x:c r="H405" s="34" t="str">
        <x:v>inventory</x:v>
      </x:c>
      <x:c r="I405" s="33" t="n">
        <x:v>5</x:v>
      </x:c>
      <x:c r="J405" s="35" t="str">
        <x:v>Planning allowance; written quote needed</x:v>
      </x:c>
      <x:c r="K405" s="36" t="str">
        <x:v>ALLOW</x:v>
      </x:c>
      <x:c r="L405" s="37" t="n">
        <x:f>ROUND(E405*F405,2)</x:f>
        <x:v>32</x:v>
      </x:c>
      <x:c r="M405" s="37" t="n">
        <x:f>ROUND(E405*G405,2)</x:f>
        <x:v>40</x:v>
      </x:c>
      <x:c r="N405" s="37" t="n">
        <x:f>ROUND(E405*I405,2)</x:f>
        <x:v>50</x:v>
      </x:c>
      <x:c r="O405" s="18" t="str">
        <x:v> Low/high are -20%/+25% rate sensitivity, not observed market range.</x:v>
      </x:c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48" customHeight="1">
      <x:c r="A406" s="1" t="str">
        <x:v>MER-PRINT-Zuri-2T</x:v>
      </x:c>
      <x:c r="B406" s="1" t="str">
        <x:v>Merchandise</x:v>
      </x:c>
      <x:c r="C406" s="18" t="str">
        <x:v>Zuri shirt print 2T</x:v>
      </x:c>
      <x:c r="D406" s="18" t="str">
        <x:v>print</x:v>
      </x:c>
      <x:c r="E406" s="32" t="n">
        <x:v>10</x:v>
      </x:c>
      <x:c r="F406" s="33" t="n">
        <x:v>3.2</x:v>
      </x:c>
      <x:c r="G406" s="33" t="n">
        <x:v>4</x:v>
      </x:c>
      <x:c r="H406" s="34" t="str">
        <x:v>inventory</x:v>
      </x:c>
      <x:c r="I406" s="33" t="n">
        <x:v>5</x:v>
      </x:c>
      <x:c r="J406" s="35" t="str">
        <x:v>Planning allowance; written quote needed</x:v>
      </x:c>
      <x:c r="K406" s="36" t="str">
        <x:v>ALLOW</x:v>
      </x:c>
      <x:c r="L406" s="37" t="n">
        <x:f>ROUND(E406*F406,2)</x:f>
        <x:v>32</x:v>
      </x:c>
      <x:c r="M406" s="37" t="n">
        <x:f>ROUND(E406*G406,2)</x:f>
        <x:v>40</x:v>
      </x:c>
      <x:c r="N406" s="37" t="n">
        <x:f>ROUND(E406*I406,2)</x:f>
        <x:v>50</x:v>
      </x:c>
      <x:c r="O406" s="18" t="str">
        <x:v> Low/high are -20%/+25% rate sensitivity, not observed market range.</x:v>
      </x:c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48" customHeight="1">
      <x:c r="A407" s="1" t="str">
        <x:v>MER-SHIRT-Zuri-3T</x:v>
      </x:c>
      <x:c r="B407" s="1" t="str">
        <x:v>Merchandise</x:v>
      </x:c>
      <x:c r="C407" s="18" t="str">
        <x:v>Zuri shirt blank 3T</x:v>
      </x:c>
      <x:c r="D407" s="18" t="str">
        <x:v>blank</x:v>
      </x:c>
      <x:c r="E407" s="32" t="n">
        <x:v>10</x:v>
      </x:c>
      <x:c r="F407" s="33" t="n">
        <x:v>3.2</x:v>
      </x:c>
      <x:c r="G407" s="33" t="n">
        <x:v>4</x:v>
      </x:c>
      <x:c r="H407" s="34" t="str">
        <x:v>inventory</x:v>
      </x:c>
      <x:c r="I407" s="33" t="n">
        <x:v>5</x:v>
      </x:c>
      <x:c r="J407" s="35" t="str">
        <x:v>Planning allowance; written quote needed</x:v>
      </x:c>
      <x:c r="K407" s="36" t="str">
        <x:v>ALLOW</x:v>
      </x:c>
      <x:c r="L407" s="37" t="n">
        <x:f>ROUND(E407*F407,2)</x:f>
        <x:v>32</x:v>
      </x:c>
      <x:c r="M407" s="37" t="n">
        <x:f>ROUND(E407*G407,2)</x:f>
        <x:v>40</x:v>
      </x:c>
      <x:c r="N407" s="37" t="n">
        <x:f>ROUND(E407*I407,2)</x:f>
        <x:v>50</x:v>
      </x:c>
      <x:c r="O407" s="18" t="str">
        <x:v> Low/high are -20%/+25% rate sensitivity, not observed market range.</x:v>
      </x:c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48" customHeight="1">
      <x:c r="A408" s="1" t="str">
        <x:v>MER-PRINT-Zuri-3T</x:v>
      </x:c>
      <x:c r="B408" s="1" t="str">
        <x:v>Merchandise</x:v>
      </x:c>
      <x:c r="C408" s="18" t="str">
        <x:v>Zuri shirt print 3T</x:v>
      </x:c>
      <x:c r="D408" s="18" t="str">
        <x:v>print</x:v>
      </x:c>
      <x:c r="E408" s="32" t="n">
        <x:v>10</x:v>
      </x:c>
      <x:c r="F408" s="33" t="n">
        <x:v>3.2</x:v>
      </x:c>
      <x:c r="G408" s="33" t="n">
        <x:v>4</x:v>
      </x:c>
      <x:c r="H408" s="34" t="str">
        <x:v>inventory</x:v>
      </x:c>
      <x:c r="I408" s="33" t="n">
        <x:v>5</x:v>
      </x:c>
      <x:c r="J408" s="35" t="str">
        <x:v>Planning allowance; written quote needed</x:v>
      </x:c>
      <x:c r="K408" s="36" t="str">
        <x:v>ALLOW</x:v>
      </x:c>
      <x:c r="L408" s="37" t="n">
        <x:f>ROUND(E408*F408,2)</x:f>
        <x:v>32</x:v>
      </x:c>
      <x:c r="M408" s="37" t="n">
        <x:f>ROUND(E408*G408,2)</x:f>
        <x:v>40</x:v>
      </x:c>
      <x:c r="N408" s="37" t="n">
        <x:f>ROUND(E408*I408,2)</x:f>
        <x:v>50</x:v>
      </x:c>
      <x:c r="O408" s="18" t="str">
        <x:v> Low/high are -20%/+25% rate sensitivity, not observed market range.</x:v>
      </x:c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48" customHeight="1">
      <x:c r="A409" s="1" t="str">
        <x:v>MER-SHIRT-Zuri-4T</x:v>
      </x:c>
      <x:c r="B409" s="1" t="str">
        <x:v>Merchandise</x:v>
      </x:c>
      <x:c r="C409" s="18" t="str">
        <x:v>Zuri shirt blank 4T</x:v>
      </x:c>
      <x:c r="D409" s="18" t="str">
        <x:v>blank</x:v>
      </x:c>
      <x:c r="E409" s="32" t="n">
        <x:v>10</x:v>
      </x:c>
      <x:c r="F409" s="33" t="n">
        <x:v>3.2</x:v>
      </x:c>
      <x:c r="G409" s="33" t="n">
        <x:v>4</x:v>
      </x:c>
      <x:c r="H409" s="34" t="str">
        <x:v>inventory</x:v>
      </x:c>
      <x:c r="I409" s="33" t="n">
        <x:v>5</x:v>
      </x:c>
      <x:c r="J409" s="35" t="str">
        <x:v>Planning allowance; written quote needed</x:v>
      </x:c>
      <x:c r="K409" s="36" t="str">
        <x:v>ALLOW</x:v>
      </x:c>
      <x:c r="L409" s="37" t="n">
        <x:f>ROUND(E409*F409,2)</x:f>
        <x:v>32</x:v>
      </x:c>
      <x:c r="M409" s="37" t="n">
        <x:f>ROUND(E409*G409,2)</x:f>
        <x:v>40</x:v>
      </x:c>
      <x:c r="N409" s="37" t="n">
        <x:f>ROUND(E409*I409,2)</x:f>
        <x:v>50</x:v>
      </x:c>
      <x:c r="O409" s="18" t="str">
        <x:v> Low/high are -20%/+25% rate sensitivity, not observed market range.</x:v>
      </x:c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48" customHeight="1">
      <x:c r="A410" s="1" t="str">
        <x:v>MER-PRINT-Zuri-4T</x:v>
      </x:c>
      <x:c r="B410" s="1" t="str">
        <x:v>Merchandise</x:v>
      </x:c>
      <x:c r="C410" s="18" t="str">
        <x:v>Zuri shirt print 4T</x:v>
      </x:c>
      <x:c r="D410" s="18" t="str">
        <x:v>print</x:v>
      </x:c>
      <x:c r="E410" s="32" t="n">
        <x:v>10</x:v>
      </x:c>
      <x:c r="F410" s="33" t="n">
        <x:v>3.2</x:v>
      </x:c>
      <x:c r="G410" s="33" t="n">
        <x:v>4</x:v>
      </x:c>
      <x:c r="H410" s="34" t="str">
        <x:v>inventory</x:v>
      </x:c>
      <x:c r="I410" s="33" t="n">
        <x:v>5</x:v>
      </x:c>
      <x:c r="J410" s="35" t="str">
        <x:v>Planning allowance; written quote needed</x:v>
      </x:c>
      <x:c r="K410" s="36" t="str">
        <x:v>ALLOW</x:v>
      </x:c>
      <x:c r="L410" s="37" t="n">
        <x:f>ROUND(E410*F410,2)</x:f>
        <x:v>32</x:v>
      </x:c>
      <x:c r="M410" s="37" t="n">
        <x:f>ROUND(E410*G410,2)</x:f>
        <x:v>40</x:v>
      </x:c>
      <x:c r="N410" s="37" t="n">
        <x:f>ROUND(E410*I410,2)</x:f>
        <x:v>50</x:v>
      </x:c>
      <x:c r="O410" s="18" t="str">
        <x:v> Low/high are -20%/+25% rate sensitivity, not observed market range.</x:v>
      </x:c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48" customHeight="1">
      <x:c r="A411" s="1" t="str">
        <x:v>MER-SHIRT-Zuri-5T</x:v>
      </x:c>
      <x:c r="B411" s="1" t="str">
        <x:v>Merchandise</x:v>
      </x:c>
      <x:c r="C411" s="18" t="str">
        <x:v>Zuri shirt blank 5T</x:v>
      </x:c>
      <x:c r="D411" s="18" t="str">
        <x:v>blank</x:v>
      </x:c>
      <x:c r="E411" s="32" t="n">
        <x:v>10</x:v>
      </x:c>
      <x:c r="F411" s="33" t="n">
        <x:v>3.2</x:v>
      </x:c>
      <x:c r="G411" s="33" t="n">
        <x:v>4</x:v>
      </x:c>
      <x:c r="H411" s="34" t="str">
        <x:v>inventory</x:v>
      </x:c>
      <x:c r="I411" s="33" t="n">
        <x:v>5</x:v>
      </x:c>
      <x:c r="J411" s="35" t="str">
        <x:v>Planning allowance; written quote needed</x:v>
      </x:c>
      <x:c r="K411" s="36" t="str">
        <x:v>ALLOW</x:v>
      </x:c>
      <x:c r="L411" s="37" t="n">
        <x:f>ROUND(E411*F411,2)</x:f>
        <x:v>32</x:v>
      </x:c>
      <x:c r="M411" s="37" t="n">
        <x:f>ROUND(E411*G411,2)</x:f>
        <x:v>40</x:v>
      </x:c>
      <x:c r="N411" s="37" t="n">
        <x:f>ROUND(E411*I411,2)</x:f>
        <x:v>50</x:v>
      </x:c>
      <x:c r="O411" s="18" t="str">
        <x:v> Low/high are -20%/+25% rate sensitivity, not observed market range.</x:v>
      </x:c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48" customHeight="1">
      <x:c r="A412" s="1" t="str">
        <x:v>MER-PRINT-Zuri-5T</x:v>
      </x:c>
      <x:c r="B412" s="1" t="str">
        <x:v>Merchandise</x:v>
      </x:c>
      <x:c r="C412" s="18" t="str">
        <x:v>Zuri shirt print 5T</x:v>
      </x:c>
      <x:c r="D412" s="18" t="str">
        <x:v>print</x:v>
      </x:c>
      <x:c r="E412" s="32" t="n">
        <x:v>10</x:v>
      </x:c>
      <x:c r="F412" s="33" t="n">
        <x:v>3.2</x:v>
      </x:c>
      <x:c r="G412" s="33" t="n">
        <x:v>4</x:v>
      </x:c>
      <x:c r="H412" s="34" t="str">
        <x:v>inventory</x:v>
      </x:c>
      <x:c r="I412" s="33" t="n">
        <x:v>5</x:v>
      </x:c>
      <x:c r="J412" s="35" t="str">
        <x:v>Planning allowance; written quote needed</x:v>
      </x:c>
      <x:c r="K412" s="36" t="str">
        <x:v>ALLOW</x:v>
      </x:c>
      <x:c r="L412" s="37" t="n">
        <x:f>ROUND(E412*F412,2)</x:f>
        <x:v>32</x:v>
      </x:c>
      <x:c r="M412" s="37" t="n">
        <x:f>ROUND(E412*G412,2)</x:f>
        <x:v>40</x:v>
      </x:c>
      <x:c r="N412" s="37" t="n">
        <x:f>ROUND(E412*I412,2)</x:f>
        <x:v>50</x:v>
      </x:c>
      <x:c r="O412" s="18" t="str">
        <x:v> Low/high are -20%/+25% rate sensitivity, not observed market range.</x:v>
      </x:c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48" customHeight="1">
      <x:c r="A413" s="1" t="str">
        <x:v>MER-POSTER-Zuri-EN</x:v>
      </x:c>
      <x:c r="B413" s="1" t="str">
        <x:v>Merchandise</x:v>
      </x:c>
      <x:c r="C413" s="18" t="str">
        <x:v>Zuri zone poster EN</x:v>
      </x:c>
      <x:c r="D413" s="18" t="str">
        <x:v>poster</x:v>
      </x:c>
      <x:c r="E413" s="32" t="n">
        <x:v>10</x:v>
      </x:c>
      <x:c r="F413" s="33" t="n">
        <x:v>6.4</x:v>
      </x:c>
      <x:c r="G413" s="33" t="n">
        <x:v>8</x:v>
      </x:c>
      <x:c r="H413" s="34" t="str">
        <x:v>inventory</x:v>
      </x:c>
      <x:c r="I413" s="33" t="n">
        <x:v>10</x:v>
      </x:c>
      <x:c r="J413" s="35" t="str">
        <x:v>Planning allowance; written quote needed</x:v>
      </x:c>
      <x:c r="K413" s="36" t="str">
        <x:v>ALLOW</x:v>
      </x:c>
      <x:c r="L413" s="37" t="n">
        <x:f>ROUND(E413*F413,2)</x:f>
        <x:v>64</x:v>
      </x:c>
      <x:c r="M413" s="37" t="n">
        <x:f>ROUND(E413*G413,2)</x:f>
        <x:v>80</x:v>
      </x:c>
      <x:c r="N413" s="37" t="n">
        <x:f>ROUND(E413*I413,2)</x:f>
        <x:v>100</x:v>
      </x:c>
      <x:c r="O413" s="18" t="str">
        <x:v> Low/high are -20%/+25% rate sensitivity, not observed market range.</x:v>
      </x:c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48" customHeight="1">
      <x:c r="A414" s="1" t="str">
        <x:v>MER-POSTER-Zuri-ES</x:v>
      </x:c>
      <x:c r="B414" s="1" t="str">
        <x:v>Merchandise</x:v>
      </x:c>
      <x:c r="C414" s="18" t="str">
        <x:v>Zuri zone poster ES</x:v>
      </x:c>
      <x:c r="D414" s="18" t="str">
        <x:v>poster</x:v>
      </x:c>
      <x:c r="E414" s="32" t="n">
        <x:v>10</x:v>
      </x:c>
      <x:c r="F414" s="33" t="n">
        <x:v>6.4</x:v>
      </x:c>
      <x:c r="G414" s="33" t="n">
        <x:v>8</x:v>
      </x:c>
      <x:c r="H414" s="34" t="str">
        <x:v>inventory</x:v>
      </x:c>
      <x:c r="I414" s="33" t="n">
        <x:v>10</x:v>
      </x:c>
      <x:c r="J414" s="35" t="str">
        <x:v>Planning allowance; written quote needed</x:v>
      </x:c>
      <x:c r="K414" s="36" t="str">
        <x:v>ALLOW</x:v>
      </x:c>
      <x:c r="L414" s="37" t="n">
        <x:f>ROUND(E414*F414,2)</x:f>
        <x:v>64</x:v>
      </x:c>
      <x:c r="M414" s="37" t="n">
        <x:f>ROUND(E414*G414,2)</x:f>
        <x:v>80</x:v>
      </x:c>
      <x:c r="N414" s="37" t="n">
        <x:f>ROUND(E414*I414,2)</x:f>
        <x:v>100</x:v>
      </x:c>
      <x:c r="O414" s="18" t="str">
        <x:v> Low/high are -20%/+25% rate sensitivity, not observed market range.</x:v>
      </x:c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48" customHeight="1">
      <x:c r="A415" s="1" t="str">
        <x:v>MER-PLUSH-Bop</x:v>
      </x:c>
      <x:c r="B415" s="1" t="str">
        <x:v>Merchandise</x:v>
      </x:c>
      <x:c r="C415" s="18" t="str">
        <x:v>Bop plush</x:v>
      </x:c>
      <x:c r="D415" s="18" t="str">
        <x:v>plush</x:v>
      </x:c>
      <x:c r="E415" s="32" t="n">
        <x:v>50</x:v>
      </x:c>
      <x:c r="F415" s="33" t="n">
        <x:v>9.6</x:v>
      </x:c>
      <x:c r="G415" s="33" t="n">
        <x:v>12</x:v>
      </x:c>
      <x:c r="H415" s="34" t="str">
        <x:v>inventory</x:v>
      </x:c>
      <x:c r="I415" s="33" t="n">
        <x:v>15</x:v>
      </x:c>
      <x:c r="J415" s="35" t="str">
        <x:v>Planning allowance; written quote needed</x:v>
      </x:c>
      <x:c r="K415" s="36" t="str">
        <x:v>ALLOW</x:v>
      </x:c>
      <x:c r="L415" s="37" t="n">
        <x:f>ROUND(E415*F415,2)</x:f>
        <x:v>480</x:v>
      </x:c>
      <x:c r="M415" s="37" t="n">
        <x:f>ROUND(E415*G415,2)</x:f>
        <x:v>600</x:v>
      </x:c>
      <x:c r="N415" s="37" t="n">
        <x:f>ROUND(E415*I415,2)</x:f>
        <x:v>750</x:v>
      </x:c>
      <x:c r="O415" s="18" t="str">
        <x:v>Factory unit allowance. MOQ, safety, landed pricing require quote. Low/high are -20%/+25% rate sensitivity, not observed market range.</x:v>
      </x:c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48" customHeight="1">
      <x:c r="A416" s="1" t="str">
        <x:v>MER-RUG-Bop</x:v>
      </x:c>
      <x:c r="B416" s="1" t="str">
        <x:v>Merchandise</x:v>
      </x:c>
      <x:c r="C416" s="18" t="str">
        <x:v>Bop rug</x:v>
      </x:c>
      <x:c r="D416" s="18" t="str">
        <x:v>carpet</x:v>
      </x:c>
      <x:c r="E416" s="32" t="n">
        <x:v>5</x:v>
      </x:c>
      <x:c r="F416" s="33" t="n">
        <x:v>140</x:v>
      </x:c>
      <x:c r="G416" s="33" t="n">
        <x:v>175</x:v>
      </x:c>
      <x:c r="H416" s="34" t="str">
        <x:v>inventory</x:v>
      </x:c>
      <x:c r="I416" s="33" t="n">
        <x:v>218.75</x:v>
      </x:c>
      <x:c r="J416" s="35" t="str">
        <x:v>Planning allowance; written quote needed</x:v>
      </x:c>
      <x:c r="K416" s="36" t="str">
        <x:v>ALLOW</x:v>
      </x:c>
      <x:c r="L416" s="37" t="n">
        <x:f>ROUND(E416*F416,2)</x:f>
        <x:v>700</x:v>
      </x:c>
      <x:c r="M416" s="37" t="n">
        <x:f>ROUND(E416*G416,2)</x:f>
        <x:v>875</x:v>
      </x:c>
      <x:c r="N416" s="37" t="n">
        <x:f>ROUND(E416*I416,2)</x:f>
        <x:v>1093.75</x:v>
      </x:c>
      <x:c r="O416" s="18" t="str">
        <x:v>Factory unit allowance. MOQ, safety, landed pricing require quote. Low/high are -20%/+25% rate sensitivity, not observed market range.</x:v>
      </x:c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48" customHeight="1">
      <x:c r="A417" s="1" t="str">
        <x:v>MER-BOTTLE-Bop</x:v>
      </x:c>
      <x:c r="B417" s="1" t="str">
        <x:v>Merchandise</x:v>
      </x:c>
      <x:c r="C417" s="18" t="str">
        <x:v>Bop bottle</x:v>
      </x:c>
      <x:c r="D417" s="18" t="str">
        <x:v>bottle</x:v>
      </x:c>
      <x:c r="E417" s="32" t="n">
        <x:v>25</x:v>
      </x:c>
      <x:c r="F417" s="33" t="n">
        <x:v>8</x:v>
      </x:c>
      <x:c r="G417" s="33" t="n">
        <x:v>10</x:v>
      </x:c>
      <x:c r="H417" s="34" t="str">
        <x:v>inventory</x:v>
      </x:c>
      <x:c r="I417" s="33" t="n">
        <x:v>12.5</x:v>
      </x:c>
      <x:c r="J417" s="35" t="str">
        <x:v>Planning allowance; written quote needed</x:v>
      </x:c>
      <x:c r="K417" s="36" t="str">
        <x:v>ALLOW</x:v>
      </x:c>
      <x:c r="L417" s="37" t="n">
        <x:f>ROUND(E417*F417,2)</x:f>
        <x:v>200</x:v>
      </x:c>
      <x:c r="M417" s="37" t="n">
        <x:f>ROUND(E417*G417,2)</x:f>
        <x:v>250</x:v>
      </x:c>
      <x:c r="N417" s="37" t="n">
        <x:f>ROUND(E417*I417,2)</x:f>
        <x:v>312.5</x:v>
      </x:c>
      <x:c r="O417" s="18" t="str">
        <x:v>Factory unit allowance. MOQ, safety, landed pricing require quote. Low/high are -20%/+25% rate sensitivity, not observed market range.</x:v>
      </x:c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48" customHeight="1">
      <x:c r="A418" s="1" t="str">
        <x:v>MER-BAG-Bop</x:v>
      </x:c>
      <x:c r="B418" s="1" t="str">
        <x:v>Merchandise</x:v>
      </x:c>
      <x:c r="C418" s="18" t="str">
        <x:v>Bop bag</x:v>
      </x:c>
      <x:c r="D418" s="18" t="str">
        <x:v>backpack</x:v>
      </x:c>
      <x:c r="E418" s="32" t="n">
        <x:v>25</x:v>
      </x:c>
      <x:c r="F418" s="33" t="n">
        <x:v>12</x:v>
      </x:c>
      <x:c r="G418" s="33" t="n">
        <x:v>15</x:v>
      </x:c>
      <x:c r="H418" s="34" t="str">
        <x:v>inventory</x:v>
      </x:c>
      <x:c r="I418" s="33" t="n">
        <x:v>18.75</x:v>
      </x:c>
      <x:c r="J418" s="35" t="str">
        <x:v>Planning allowance; written quote needed</x:v>
      </x:c>
      <x:c r="K418" s="36" t="str">
        <x:v>ALLOW</x:v>
      </x:c>
      <x:c r="L418" s="37" t="n">
        <x:f>ROUND(E418*F418,2)</x:f>
        <x:v>300</x:v>
      </x:c>
      <x:c r="M418" s="37" t="n">
        <x:f>ROUND(E418*G418,2)</x:f>
        <x:v>375</x:v>
      </x:c>
      <x:c r="N418" s="37" t="n">
        <x:f>ROUND(E418*I418,2)</x:f>
        <x:v>468.75</x:v>
      </x:c>
      <x:c r="O418" s="18" t="str">
        <x:v>Factory unit allowance. MOQ, safety, landed pricing require quote. Low/high are -20%/+25% rate sensitivity, not observed market range.</x:v>
      </x:c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48" customHeight="1">
      <x:c r="A419" s="1" t="str">
        <x:v>MER-SHIRT-Bop-2T</x:v>
      </x:c>
      <x:c r="B419" s="1" t="str">
        <x:v>Merchandise</x:v>
      </x:c>
      <x:c r="C419" s="18" t="str">
        <x:v>Bop shirt blank 2T</x:v>
      </x:c>
      <x:c r="D419" s="18" t="str">
        <x:v>blank</x:v>
      </x:c>
      <x:c r="E419" s="32" t="n">
        <x:v>10</x:v>
      </x:c>
      <x:c r="F419" s="33" t="n">
        <x:v>3.2</x:v>
      </x:c>
      <x:c r="G419" s="33" t="n">
        <x:v>4</x:v>
      </x:c>
      <x:c r="H419" s="34" t="str">
        <x:v>inventory</x:v>
      </x:c>
      <x:c r="I419" s="33" t="n">
        <x:v>5</x:v>
      </x:c>
      <x:c r="J419" s="35" t="str">
        <x:v>Planning allowance; written quote needed</x:v>
      </x:c>
      <x:c r="K419" s="36" t="str">
        <x:v>ALLOW</x:v>
      </x:c>
      <x:c r="L419" s="37" t="n">
        <x:f>ROUND(E419*F419,2)</x:f>
        <x:v>32</x:v>
      </x:c>
      <x:c r="M419" s="37" t="n">
        <x:f>ROUND(E419*G419,2)</x:f>
        <x:v>40</x:v>
      </x:c>
      <x:c r="N419" s="37" t="n">
        <x:f>ROUND(E419*I419,2)</x:f>
        <x:v>50</x:v>
      </x:c>
      <x:c r="O419" s="18" t="str">
        <x:v> Low/high are -20%/+25% rate sensitivity, not observed market range.</x:v>
      </x:c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48" customHeight="1">
      <x:c r="A420" s="1" t="str">
        <x:v>MER-PRINT-Bop-2T</x:v>
      </x:c>
      <x:c r="B420" s="1" t="str">
        <x:v>Merchandise</x:v>
      </x:c>
      <x:c r="C420" s="18" t="str">
        <x:v>Bop shirt print 2T</x:v>
      </x:c>
      <x:c r="D420" s="18" t="str">
        <x:v>print</x:v>
      </x:c>
      <x:c r="E420" s="32" t="n">
        <x:v>10</x:v>
      </x:c>
      <x:c r="F420" s="33" t="n">
        <x:v>3.2</x:v>
      </x:c>
      <x:c r="G420" s="33" t="n">
        <x:v>4</x:v>
      </x:c>
      <x:c r="H420" s="34" t="str">
        <x:v>inventory</x:v>
      </x:c>
      <x:c r="I420" s="33" t="n">
        <x:v>5</x:v>
      </x:c>
      <x:c r="J420" s="35" t="str">
        <x:v>Planning allowance; written quote needed</x:v>
      </x:c>
      <x:c r="K420" s="36" t="str">
        <x:v>ALLOW</x:v>
      </x:c>
      <x:c r="L420" s="37" t="n">
        <x:f>ROUND(E420*F420,2)</x:f>
        <x:v>32</x:v>
      </x:c>
      <x:c r="M420" s="37" t="n">
        <x:f>ROUND(E420*G420,2)</x:f>
        <x:v>40</x:v>
      </x:c>
      <x:c r="N420" s="37" t="n">
        <x:f>ROUND(E420*I420,2)</x:f>
        <x:v>50</x:v>
      </x:c>
      <x:c r="O420" s="18" t="str">
        <x:v> Low/high are -20%/+25% rate sensitivity, not observed market range.</x:v>
      </x:c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48" customHeight="1">
      <x:c r="A421" s="1" t="str">
        <x:v>MER-SHIRT-Bop-3T</x:v>
      </x:c>
      <x:c r="B421" s="1" t="str">
        <x:v>Merchandise</x:v>
      </x:c>
      <x:c r="C421" s="18" t="str">
        <x:v>Bop shirt blank 3T</x:v>
      </x:c>
      <x:c r="D421" s="18" t="str">
        <x:v>blank</x:v>
      </x:c>
      <x:c r="E421" s="32" t="n">
        <x:v>10</x:v>
      </x:c>
      <x:c r="F421" s="33" t="n">
        <x:v>3.2</x:v>
      </x:c>
      <x:c r="G421" s="33" t="n">
        <x:v>4</x:v>
      </x:c>
      <x:c r="H421" s="34" t="str">
        <x:v>inventory</x:v>
      </x:c>
      <x:c r="I421" s="33" t="n">
        <x:v>5</x:v>
      </x:c>
      <x:c r="J421" s="35" t="str">
        <x:v>Planning allowance; written quote needed</x:v>
      </x:c>
      <x:c r="K421" s="36" t="str">
        <x:v>ALLOW</x:v>
      </x:c>
      <x:c r="L421" s="37" t="n">
        <x:f>ROUND(E421*F421,2)</x:f>
        <x:v>32</x:v>
      </x:c>
      <x:c r="M421" s="37" t="n">
        <x:f>ROUND(E421*G421,2)</x:f>
        <x:v>40</x:v>
      </x:c>
      <x:c r="N421" s="37" t="n">
        <x:f>ROUND(E421*I421,2)</x:f>
        <x:v>50</x:v>
      </x:c>
      <x:c r="O421" s="18" t="str">
        <x:v> Low/high are -20%/+25% rate sensitivity, not observed market range.</x:v>
      </x:c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48" customHeight="1">
      <x:c r="A422" s="1" t="str">
        <x:v>MER-PRINT-Bop-3T</x:v>
      </x:c>
      <x:c r="B422" s="1" t="str">
        <x:v>Merchandise</x:v>
      </x:c>
      <x:c r="C422" s="18" t="str">
        <x:v>Bop shirt print 3T</x:v>
      </x:c>
      <x:c r="D422" s="18" t="str">
        <x:v>print</x:v>
      </x:c>
      <x:c r="E422" s="32" t="n">
        <x:v>10</x:v>
      </x:c>
      <x:c r="F422" s="33" t="n">
        <x:v>3.2</x:v>
      </x:c>
      <x:c r="G422" s="33" t="n">
        <x:v>4</x:v>
      </x:c>
      <x:c r="H422" s="34" t="str">
        <x:v>inventory</x:v>
      </x:c>
      <x:c r="I422" s="33" t="n">
        <x:v>5</x:v>
      </x:c>
      <x:c r="J422" s="35" t="str">
        <x:v>Planning allowance; written quote needed</x:v>
      </x:c>
      <x:c r="K422" s="36" t="str">
        <x:v>ALLOW</x:v>
      </x:c>
      <x:c r="L422" s="37" t="n">
        <x:f>ROUND(E422*F422,2)</x:f>
        <x:v>32</x:v>
      </x:c>
      <x:c r="M422" s="37" t="n">
        <x:f>ROUND(E422*G422,2)</x:f>
        <x:v>40</x:v>
      </x:c>
      <x:c r="N422" s="37" t="n">
        <x:f>ROUND(E422*I422,2)</x:f>
        <x:v>50</x:v>
      </x:c>
      <x:c r="O422" s="18" t="str">
        <x:v> Low/high are -20%/+25% rate sensitivity, not observed market range.</x:v>
      </x:c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48" customHeight="1">
      <x:c r="A423" s="1" t="str">
        <x:v>MER-SHIRT-Bop-4T</x:v>
      </x:c>
      <x:c r="B423" s="1" t="str">
        <x:v>Merchandise</x:v>
      </x:c>
      <x:c r="C423" s="18" t="str">
        <x:v>Bop shirt blank 4T</x:v>
      </x:c>
      <x:c r="D423" s="18" t="str">
        <x:v>blank</x:v>
      </x:c>
      <x:c r="E423" s="32" t="n">
        <x:v>10</x:v>
      </x:c>
      <x:c r="F423" s="33" t="n">
        <x:v>3.2</x:v>
      </x:c>
      <x:c r="G423" s="33" t="n">
        <x:v>4</x:v>
      </x:c>
      <x:c r="H423" s="34" t="str">
        <x:v>inventory</x:v>
      </x:c>
      <x:c r="I423" s="33" t="n">
        <x:v>5</x:v>
      </x:c>
      <x:c r="J423" s="35" t="str">
        <x:v>Planning allowance; written quote needed</x:v>
      </x:c>
      <x:c r="K423" s="36" t="str">
        <x:v>ALLOW</x:v>
      </x:c>
      <x:c r="L423" s="37" t="n">
        <x:f>ROUND(E423*F423,2)</x:f>
        <x:v>32</x:v>
      </x:c>
      <x:c r="M423" s="37" t="n">
        <x:f>ROUND(E423*G423,2)</x:f>
        <x:v>40</x:v>
      </x:c>
      <x:c r="N423" s="37" t="n">
        <x:f>ROUND(E423*I423,2)</x:f>
        <x:v>50</x:v>
      </x:c>
      <x:c r="O423" s="18" t="str">
        <x:v> Low/high are -20%/+25% rate sensitivity, not observed market range.</x:v>
      </x:c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48" customHeight="1">
      <x:c r="A424" s="1" t="str">
        <x:v>MER-PRINT-Bop-4T</x:v>
      </x:c>
      <x:c r="B424" s="1" t="str">
        <x:v>Merchandise</x:v>
      </x:c>
      <x:c r="C424" s="18" t="str">
        <x:v>Bop shirt print 4T</x:v>
      </x:c>
      <x:c r="D424" s="18" t="str">
        <x:v>print</x:v>
      </x:c>
      <x:c r="E424" s="32" t="n">
        <x:v>10</x:v>
      </x:c>
      <x:c r="F424" s="33" t="n">
        <x:v>3.2</x:v>
      </x:c>
      <x:c r="G424" s="33" t="n">
        <x:v>4</x:v>
      </x:c>
      <x:c r="H424" s="34" t="str">
        <x:v>inventory</x:v>
      </x:c>
      <x:c r="I424" s="33" t="n">
        <x:v>5</x:v>
      </x:c>
      <x:c r="J424" s="35" t="str">
        <x:v>Planning allowance; written quote needed</x:v>
      </x:c>
      <x:c r="K424" s="36" t="str">
        <x:v>ALLOW</x:v>
      </x:c>
      <x:c r="L424" s="37" t="n">
        <x:f>ROUND(E424*F424,2)</x:f>
        <x:v>32</x:v>
      </x:c>
      <x:c r="M424" s="37" t="n">
        <x:f>ROUND(E424*G424,2)</x:f>
        <x:v>40</x:v>
      </x:c>
      <x:c r="N424" s="37" t="n">
        <x:f>ROUND(E424*I424,2)</x:f>
        <x:v>50</x:v>
      </x:c>
      <x:c r="O424" s="18" t="str">
        <x:v> Low/high are -20%/+25% rate sensitivity, not observed market range.</x:v>
      </x:c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48" customHeight="1">
      <x:c r="A425" s="1" t="str">
        <x:v>MER-SHIRT-Bop-5T</x:v>
      </x:c>
      <x:c r="B425" s="1" t="str">
        <x:v>Merchandise</x:v>
      </x:c>
      <x:c r="C425" s="18" t="str">
        <x:v>Bop shirt blank 5T</x:v>
      </x:c>
      <x:c r="D425" s="18" t="str">
        <x:v>blank</x:v>
      </x:c>
      <x:c r="E425" s="32" t="n">
        <x:v>10</x:v>
      </x:c>
      <x:c r="F425" s="33" t="n">
        <x:v>3.2</x:v>
      </x:c>
      <x:c r="G425" s="33" t="n">
        <x:v>4</x:v>
      </x:c>
      <x:c r="H425" s="34" t="str">
        <x:v>inventory</x:v>
      </x:c>
      <x:c r="I425" s="33" t="n">
        <x:v>5</x:v>
      </x:c>
      <x:c r="J425" s="35" t="str">
        <x:v>Planning allowance; written quote needed</x:v>
      </x:c>
      <x:c r="K425" s="36" t="str">
        <x:v>ALLOW</x:v>
      </x:c>
      <x:c r="L425" s="37" t="n">
        <x:f>ROUND(E425*F425,2)</x:f>
        <x:v>32</x:v>
      </x:c>
      <x:c r="M425" s="37" t="n">
        <x:f>ROUND(E425*G425,2)</x:f>
        <x:v>40</x:v>
      </x:c>
      <x:c r="N425" s="37" t="n">
        <x:f>ROUND(E425*I425,2)</x:f>
        <x:v>50</x:v>
      </x:c>
      <x:c r="O425" s="18" t="str">
        <x:v> Low/high are -20%/+25% rate sensitivity, not observed market range.</x:v>
      </x:c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48" customHeight="1">
      <x:c r="A426" s="1" t="str">
        <x:v>MER-PRINT-Bop-5T</x:v>
      </x:c>
      <x:c r="B426" s="1" t="str">
        <x:v>Merchandise</x:v>
      </x:c>
      <x:c r="C426" s="18" t="str">
        <x:v>Bop shirt print 5T</x:v>
      </x:c>
      <x:c r="D426" s="18" t="str">
        <x:v>print</x:v>
      </x:c>
      <x:c r="E426" s="32" t="n">
        <x:v>10</x:v>
      </x:c>
      <x:c r="F426" s="33" t="n">
        <x:v>3.2</x:v>
      </x:c>
      <x:c r="G426" s="33" t="n">
        <x:v>4</x:v>
      </x:c>
      <x:c r="H426" s="34" t="str">
        <x:v>inventory</x:v>
      </x:c>
      <x:c r="I426" s="33" t="n">
        <x:v>5</x:v>
      </x:c>
      <x:c r="J426" s="35" t="str">
        <x:v>Planning allowance; written quote needed</x:v>
      </x:c>
      <x:c r="K426" s="36" t="str">
        <x:v>ALLOW</x:v>
      </x:c>
      <x:c r="L426" s="37" t="n">
        <x:f>ROUND(E426*F426,2)</x:f>
        <x:v>32</x:v>
      </x:c>
      <x:c r="M426" s="37" t="n">
        <x:f>ROUND(E426*G426,2)</x:f>
        <x:v>40</x:v>
      </x:c>
      <x:c r="N426" s="37" t="n">
        <x:f>ROUND(E426*I426,2)</x:f>
        <x:v>50</x:v>
      </x:c>
      <x:c r="O426" s="18" t="str">
        <x:v> Low/high are -20%/+25% rate sensitivity, not observed market range.</x:v>
      </x:c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48" customHeight="1">
      <x:c r="A427" s="1" t="str">
        <x:v>MER-POSTER-Bop-EN</x:v>
      </x:c>
      <x:c r="B427" s="1" t="str">
        <x:v>Merchandise</x:v>
      </x:c>
      <x:c r="C427" s="18" t="str">
        <x:v>Bop zone poster EN</x:v>
      </x:c>
      <x:c r="D427" s="18" t="str">
        <x:v>poster</x:v>
      </x:c>
      <x:c r="E427" s="32" t="n">
        <x:v>10</x:v>
      </x:c>
      <x:c r="F427" s="33" t="n">
        <x:v>6.4</x:v>
      </x:c>
      <x:c r="G427" s="33" t="n">
        <x:v>8</x:v>
      </x:c>
      <x:c r="H427" s="34" t="str">
        <x:v>inventory</x:v>
      </x:c>
      <x:c r="I427" s="33" t="n">
        <x:v>10</x:v>
      </x:c>
      <x:c r="J427" s="35" t="str">
        <x:v>Planning allowance; written quote needed</x:v>
      </x:c>
      <x:c r="K427" s="36" t="str">
        <x:v>ALLOW</x:v>
      </x:c>
      <x:c r="L427" s="37" t="n">
        <x:f>ROUND(E427*F427,2)</x:f>
        <x:v>64</x:v>
      </x:c>
      <x:c r="M427" s="37" t="n">
        <x:f>ROUND(E427*G427,2)</x:f>
        <x:v>80</x:v>
      </x:c>
      <x:c r="N427" s="37" t="n">
        <x:f>ROUND(E427*I427,2)</x:f>
        <x:v>100</x:v>
      </x:c>
      <x:c r="O427" s="18" t="str">
        <x:v> Low/high are -20%/+25% rate sensitivity, not observed market range.</x:v>
      </x:c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48" customHeight="1">
      <x:c r="A428" s="1" t="str">
        <x:v>MER-POSTER-Bop-ES</x:v>
      </x:c>
      <x:c r="B428" s="1" t="str">
        <x:v>Merchandise</x:v>
      </x:c>
      <x:c r="C428" s="18" t="str">
        <x:v>Bop zone poster ES</x:v>
      </x:c>
      <x:c r="D428" s="18" t="str">
        <x:v>poster</x:v>
      </x:c>
      <x:c r="E428" s="32" t="n">
        <x:v>10</x:v>
      </x:c>
      <x:c r="F428" s="33" t="n">
        <x:v>6.4</x:v>
      </x:c>
      <x:c r="G428" s="33" t="n">
        <x:v>8</x:v>
      </x:c>
      <x:c r="H428" s="34" t="str">
        <x:v>inventory</x:v>
      </x:c>
      <x:c r="I428" s="33" t="n">
        <x:v>10</x:v>
      </x:c>
      <x:c r="J428" s="35" t="str">
        <x:v>Planning allowance; written quote needed</x:v>
      </x:c>
      <x:c r="K428" s="36" t="str">
        <x:v>ALLOW</x:v>
      </x:c>
      <x:c r="L428" s="37" t="n">
        <x:f>ROUND(E428*F428,2)</x:f>
        <x:v>64</x:v>
      </x:c>
      <x:c r="M428" s="37" t="n">
        <x:f>ROUND(E428*G428,2)</x:f>
        <x:v>80</x:v>
      </x:c>
      <x:c r="N428" s="37" t="n">
        <x:f>ROUND(E428*I428,2)</x:f>
        <x:v>100</x:v>
      </x:c>
      <x:c r="O428" s="18" t="str">
        <x:v> Low/high are -20%/+25% rate sensitivity, not observed market range.</x:v>
      </x:c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48" customHeight="1">
      <x:c r="A429" s="1" t="str">
        <x:v>MER-BOOK-1-EN</x:v>
      </x:c>
      <x:c r="B429" s="1" t="str">
        <x:v>Merchandise</x:v>
      </x:c>
      <x:c r="C429" s="18" t="str">
        <x:v>Book title 1 EN</x:v>
      </x:c>
      <x:c r="D429" s="18" t="str">
        <x:v>book</x:v>
      </x:c>
      <x:c r="E429" s="32" t="n">
        <x:v>50</x:v>
      </x:c>
      <x:c r="F429" s="33" t="n">
        <x:v>3.2</x:v>
      </x:c>
      <x:c r="G429" s="33" t="n">
        <x:v>4</x:v>
      </x:c>
      <x:c r="H429" s="34" t="str">
        <x:v>inventory</x:v>
      </x:c>
      <x:c r="I429" s="33" t="n">
        <x:v>5</x:v>
      </x:c>
      <x:c r="J429" s="35" t="str">
        <x:v>Planning allowance; written quote needed</x:v>
      </x:c>
      <x:c r="K429" s="36" t="str">
        <x:v>ALLOW</x:v>
      </x:c>
      <x:c r="L429" s="37" t="n">
        <x:f>ROUND(E429*F429,2)</x:f>
        <x:v>160</x:v>
      </x:c>
      <x:c r="M429" s="37" t="n">
        <x:f>ROUND(E429*G429,2)</x:f>
        <x:v>200</x:v>
      </x:c>
      <x:c r="N429" s="37" t="n">
        <x:f>ROUND(E429*I429,2)</x:f>
        <x:v>250</x:v>
      </x:c>
      <x:c r="O429" s="18" t="str">
        <x:v>50 books × 5 titles × 2 languages =500; title rights/translation already in production scope. Low/high are -20%/+25% rate sensitivity, not observed market range.</x:v>
      </x:c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48" customHeight="1">
      <x:c r="A430" s="1" t="str">
        <x:v>MER-BOOK-1-ES</x:v>
      </x:c>
      <x:c r="B430" s="1" t="str">
        <x:v>Merchandise</x:v>
      </x:c>
      <x:c r="C430" s="18" t="str">
        <x:v>Book title 1 ES</x:v>
      </x:c>
      <x:c r="D430" s="18" t="str">
        <x:v>book</x:v>
      </x:c>
      <x:c r="E430" s="32" t="n">
        <x:v>50</x:v>
      </x:c>
      <x:c r="F430" s="33" t="n">
        <x:v>3.2</x:v>
      </x:c>
      <x:c r="G430" s="33" t="n">
        <x:v>4</x:v>
      </x:c>
      <x:c r="H430" s="34" t="str">
        <x:v>inventory</x:v>
      </x:c>
      <x:c r="I430" s="33" t="n">
        <x:v>5</x:v>
      </x:c>
      <x:c r="J430" s="35" t="str">
        <x:v>Planning allowance; written quote needed</x:v>
      </x:c>
      <x:c r="K430" s="36" t="str">
        <x:v>ALLOW</x:v>
      </x:c>
      <x:c r="L430" s="37" t="n">
        <x:f>ROUND(E430*F430,2)</x:f>
        <x:v>160</x:v>
      </x:c>
      <x:c r="M430" s="37" t="n">
        <x:f>ROUND(E430*G430,2)</x:f>
        <x:v>200</x:v>
      </x:c>
      <x:c r="N430" s="37" t="n">
        <x:f>ROUND(E430*I430,2)</x:f>
        <x:v>250</x:v>
      </x:c>
      <x:c r="O430" s="18" t="str">
        <x:v>50 books × 5 titles × 2 languages =500; title rights/translation already in production scope. Low/high are -20%/+25% rate sensitivity, not observed market range.</x:v>
      </x:c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48" customHeight="1">
      <x:c r="A431" s="1" t="str">
        <x:v>MER-BOOK-2-EN</x:v>
      </x:c>
      <x:c r="B431" s="1" t="str">
        <x:v>Merchandise</x:v>
      </x:c>
      <x:c r="C431" s="18" t="str">
        <x:v>Book title 2 EN</x:v>
      </x:c>
      <x:c r="D431" s="18" t="str">
        <x:v>book</x:v>
      </x:c>
      <x:c r="E431" s="32" t="n">
        <x:v>50</x:v>
      </x:c>
      <x:c r="F431" s="33" t="n">
        <x:v>3.2</x:v>
      </x:c>
      <x:c r="G431" s="33" t="n">
        <x:v>4</x:v>
      </x:c>
      <x:c r="H431" s="34" t="str">
        <x:v>inventory</x:v>
      </x:c>
      <x:c r="I431" s="33" t="n">
        <x:v>5</x:v>
      </x:c>
      <x:c r="J431" s="35" t="str">
        <x:v>Planning allowance; written quote needed</x:v>
      </x:c>
      <x:c r="K431" s="36" t="str">
        <x:v>ALLOW</x:v>
      </x:c>
      <x:c r="L431" s="37" t="n">
        <x:f>ROUND(E431*F431,2)</x:f>
        <x:v>160</x:v>
      </x:c>
      <x:c r="M431" s="37" t="n">
        <x:f>ROUND(E431*G431,2)</x:f>
        <x:v>200</x:v>
      </x:c>
      <x:c r="N431" s="37" t="n">
        <x:f>ROUND(E431*I431,2)</x:f>
        <x:v>250</x:v>
      </x:c>
      <x:c r="O431" s="18" t="str">
        <x:v>50 books × 5 titles × 2 languages =500; title rights/translation already in production scope. Low/high are -20%/+25% rate sensitivity, not observed market range.</x:v>
      </x:c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48" customHeight="1">
      <x:c r="A432" s="1" t="str">
        <x:v>MER-BOOK-2-ES</x:v>
      </x:c>
      <x:c r="B432" s="1" t="str">
        <x:v>Merchandise</x:v>
      </x:c>
      <x:c r="C432" s="18" t="str">
        <x:v>Book title 2 ES</x:v>
      </x:c>
      <x:c r="D432" s="18" t="str">
        <x:v>book</x:v>
      </x:c>
      <x:c r="E432" s="32" t="n">
        <x:v>50</x:v>
      </x:c>
      <x:c r="F432" s="33" t="n">
        <x:v>3.2</x:v>
      </x:c>
      <x:c r="G432" s="33" t="n">
        <x:v>4</x:v>
      </x:c>
      <x:c r="H432" s="34" t="str">
        <x:v>inventory</x:v>
      </x:c>
      <x:c r="I432" s="33" t="n">
        <x:v>5</x:v>
      </x:c>
      <x:c r="J432" s="35" t="str">
        <x:v>Planning allowance; written quote needed</x:v>
      </x:c>
      <x:c r="K432" s="36" t="str">
        <x:v>ALLOW</x:v>
      </x:c>
      <x:c r="L432" s="37" t="n">
        <x:f>ROUND(E432*F432,2)</x:f>
        <x:v>160</x:v>
      </x:c>
      <x:c r="M432" s="37" t="n">
        <x:f>ROUND(E432*G432,2)</x:f>
        <x:v>200</x:v>
      </x:c>
      <x:c r="N432" s="37" t="n">
        <x:f>ROUND(E432*I432,2)</x:f>
        <x:v>250</x:v>
      </x:c>
      <x:c r="O432" s="18" t="str">
        <x:v>50 books × 5 titles × 2 languages =500; title rights/translation already in production scope. Low/high are -20%/+25% rate sensitivity, not observed market range.</x:v>
      </x:c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48" customHeight="1">
      <x:c r="A433" s="1" t="str">
        <x:v>MER-BOOK-3-EN</x:v>
      </x:c>
      <x:c r="B433" s="1" t="str">
        <x:v>Merchandise</x:v>
      </x:c>
      <x:c r="C433" s="18" t="str">
        <x:v>Book title 3 EN</x:v>
      </x:c>
      <x:c r="D433" s="18" t="str">
        <x:v>book</x:v>
      </x:c>
      <x:c r="E433" s="32" t="n">
        <x:v>50</x:v>
      </x:c>
      <x:c r="F433" s="33" t="n">
        <x:v>3.2</x:v>
      </x:c>
      <x:c r="G433" s="33" t="n">
        <x:v>4</x:v>
      </x:c>
      <x:c r="H433" s="34" t="str">
        <x:v>inventory</x:v>
      </x:c>
      <x:c r="I433" s="33" t="n">
        <x:v>5</x:v>
      </x:c>
      <x:c r="J433" s="35" t="str">
        <x:v>Planning allowance; written quote needed</x:v>
      </x:c>
      <x:c r="K433" s="36" t="str">
        <x:v>ALLOW</x:v>
      </x:c>
      <x:c r="L433" s="37" t="n">
        <x:f>ROUND(E433*F433,2)</x:f>
        <x:v>160</x:v>
      </x:c>
      <x:c r="M433" s="37" t="n">
        <x:f>ROUND(E433*G433,2)</x:f>
        <x:v>200</x:v>
      </x:c>
      <x:c r="N433" s="37" t="n">
        <x:f>ROUND(E433*I433,2)</x:f>
        <x:v>250</x:v>
      </x:c>
      <x:c r="O433" s="18" t="str">
        <x:v>50 books × 5 titles × 2 languages =500; title rights/translation already in production scope. Low/high are -20%/+25% rate sensitivity, not observed market range.</x:v>
      </x:c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48" customHeight="1">
      <x:c r="A434" s="1" t="str">
        <x:v>MER-BOOK-3-ES</x:v>
      </x:c>
      <x:c r="B434" s="1" t="str">
        <x:v>Merchandise</x:v>
      </x:c>
      <x:c r="C434" s="18" t="str">
        <x:v>Book title 3 ES</x:v>
      </x:c>
      <x:c r="D434" s="18" t="str">
        <x:v>book</x:v>
      </x:c>
      <x:c r="E434" s="32" t="n">
        <x:v>50</x:v>
      </x:c>
      <x:c r="F434" s="33" t="n">
        <x:v>3.2</x:v>
      </x:c>
      <x:c r="G434" s="33" t="n">
        <x:v>4</x:v>
      </x:c>
      <x:c r="H434" s="34" t="str">
        <x:v>inventory</x:v>
      </x:c>
      <x:c r="I434" s="33" t="n">
        <x:v>5</x:v>
      </x:c>
      <x:c r="J434" s="35" t="str">
        <x:v>Planning allowance; written quote needed</x:v>
      </x:c>
      <x:c r="K434" s="36" t="str">
        <x:v>ALLOW</x:v>
      </x:c>
      <x:c r="L434" s="37" t="n">
        <x:f>ROUND(E434*F434,2)</x:f>
        <x:v>160</x:v>
      </x:c>
      <x:c r="M434" s="37" t="n">
        <x:f>ROUND(E434*G434,2)</x:f>
        <x:v>200</x:v>
      </x:c>
      <x:c r="N434" s="37" t="n">
        <x:f>ROUND(E434*I434,2)</x:f>
        <x:v>250</x:v>
      </x:c>
      <x:c r="O434" s="18" t="str">
        <x:v>50 books × 5 titles × 2 languages =500; title rights/translation already in production scope. Low/high are -20%/+25% rate sensitivity, not observed market range.</x:v>
      </x:c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48" customHeight="1">
      <x:c r="A435" s="1" t="str">
        <x:v>MER-BOOK-4-EN</x:v>
      </x:c>
      <x:c r="B435" s="1" t="str">
        <x:v>Merchandise</x:v>
      </x:c>
      <x:c r="C435" s="18" t="str">
        <x:v>Book title 4 EN</x:v>
      </x:c>
      <x:c r="D435" s="18" t="str">
        <x:v>book</x:v>
      </x:c>
      <x:c r="E435" s="32" t="n">
        <x:v>50</x:v>
      </x:c>
      <x:c r="F435" s="33" t="n">
        <x:v>3.2</x:v>
      </x:c>
      <x:c r="G435" s="33" t="n">
        <x:v>4</x:v>
      </x:c>
      <x:c r="H435" s="34" t="str">
        <x:v>inventory</x:v>
      </x:c>
      <x:c r="I435" s="33" t="n">
        <x:v>5</x:v>
      </x:c>
      <x:c r="J435" s="35" t="str">
        <x:v>Planning allowance; written quote needed</x:v>
      </x:c>
      <x:c r="K435" s="36" t="str">
        <x:v>ALLOW</x:v>
      </x:c>
      <x:c r="L435" s="37" t="n">
        <x:f>ROUND(E435*F435,2)</x:f>
        <x:v>160</x:v>
      </x:c>
      <x:c r="M435" s="37" t="n">
        <x:f>ROUND(E435*G435,2)</x:f>
        <x:v>200</x:v>
      </x:c>
      <x:c r="N435" s="37" t="n">
        <x:f>ROUND(E435*I435,2)</x:f>
        <x:v>250</x:v>
      </x:c>
      <x:c r="O435" s="18" t="str">
        <x:v>50 books × 5 titles × 2 languages =500; title rights/translation already in production scope. Low/high are -20%/+25% rate sensitivity, not observed market range.</x:v>
      </x:c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48" customHeight="1">
      <x:c r="A436" s="1" t="str">
        <x:v>MER-BOOK-4-ES</x:v>
      </x:c>
      <x:c r="B436" s="1" t="str">
        <x:v>Merchandise</x:v>
      </x:c>
      <x:c r="C436" s="18" t="str">
        <x:v>Book title 4 ES</x:v>
      </x:c>
      <x:c r="D436" s="18" t="str">
        <x:v>book</x:v>
      </x:c>
      <x:c r="E436" s="32" t="n">
        <x:v>50</x:v>
      </x:c>
      <x:c r="F436" s="33" t="n">
        <x:v>3.2</x:v>
      </x:c>
      <x:c r="G436" s="33" t="n">
        <x:v>4</x:v>
      </x:c>
      <x:c r="H436" s="34" t="str">
        <x:v>inventory</x:v>
      </x:c>
      <x:c r="I436" s="33" t="n">
        <x:v>5</x:v>
      </x:c>
      <x:c r="J436" s="35" t="str">
        <x:v>Planning allowance; written quote needed</x:v>
      </x:c>
      <x:c r="K436" s="36" t="str">
        <x:v>ALLOW</x:v>
      </x:c>
      <x:c r="L436" s="37" t="n">
        <x:f>ROUND(E436*F436,2)</x:f>
        <x:v>160</x:v>
      </x:c>
      <x:c r="M436" s="37" t="n">
        <x:f>ROUND(E436*G436,2)</x:f>
        <x:v>200</x:v>
      </x:c>
      <x:c r="N436" s="37" t="n">
        <x:f>ROUND(E436*I436,2)</x:f>
        <x:v>250</x:v>
      </x:c>
      <x:c r="O436" s="18" t="str">
        <x:v>50 books × 5 titles × 2 languages =500; title rights/translation already in production scope. Low/high are -20%/+25% rate sensitivity, not observed market range.</x:v>
      </x:c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48" customHeight="1">
      <x:c r="A437" s="1" t="str">
        <x:v>MER-BOOK-5-EN</x:v>
      </x:c>
      <x:c r="B437" s="1" t="str">
        <x:v>Merchandise</x:v>
      </x:c>
      <x:c r="C437" s="18" t="str">
        <x:v>Book title 5 EN</x:v>
      </x:c>
      <x:c r="D437" s="18" t="str">
        <x:v>book</x:v>
      </x:c>
      <x:c r="E437" s="32" t="n">
        <x:v>50</x:v>
      </x:c>
      <x:c r="F437" s="33" t="n">
        <x:v>3.2</x:v>
      </x:c>
      <x:c r="G437" s="33" t="n">
        <x:v>4</x:v>
      </x:c>
      <x:c r="H437" s="34" t="str">
        <x:v>inventory</x:v>
      </x:c>
      <x:c r="I437" s="33" t="n">
        <x:v>5</x:v>
      </x:c>
      <x:c r="J437" s="35" t="str">
        <x:v>Planning allowance; written quote needed</x:v>
      </x:c>
      <x:c r="K437" s="36" t="str">
        <x:v>ALLOW</x:v>
      </x:c>
      <x:c r="L437" s="37" t="n">
        <x:f>ROUND(E437*F437,2)</x:f>
        <x:v>160</x:v>
      </x:c>
      <x:c r="M437" s="37" t="n">
        <x:f>ROUND(E437*G437,2)</x:f>
        <x:v>200</x:v>
      </x:c>
      <x:c r="N437" s="37" t="n">
        <x:f>ROUND(E437*I437,2)</x:f>
        <x:v>250</x:v>
      </x:c>
      <x:c r="O437" s="18" t="str">
        <x:v>50 books × 5 titles × 2 languages =500; title rights/translation already in production scope. Low/high are -20%/+25% rate sensitivity, not observed market range.</x:v>
      </x:c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48" customHeight="1">
      <x:c r="A438" s="1" t="str">
        <x:v>MER-BOOK-5-ES</x:v>
      </x:c>
      <x:c r="B438" s="1" t="str">
        <x:v>Merchandise</x:v>
      </x:c>
      <x:c r="C438" s="18" t="str">
        <x:v>Book title 5 ES</x:v>
      </x:c>
      <x:c r="D438" s="18" t="str">
        <x:v>book</x:v>
      </x:c>
      <x:c r="E438" s="32" t="n">
        <x:v>50</x:v>
      </x:c>
      <x:c r="F438" s="33" t="n">
        <x:v>3.2</x:v>
      </x:c>
      <x:c r="G438" s="33" t="n">
        <x:v>4</x:v>
      </x:c>
      <x:c r="H438" s="34" t="str">
        <x:v>inventory</x:v>
      </x:c>
      <x:c r="I438" s="33" t="n">
        <x:v>5</x:v>
      </x:c>
      <x:c r="J438" s="35" t="str">
        <x:v>Planning allowance; written quote needed</x:v>
      </x:c>
      <x:c r="K438" s="36" t="str">
        <x:v>ALLOW</x:v>
      </x:c>
      <x:c r="L438" s="37" t="n">
        <x:f>ROUND(E438*F438,2)</x:f>
        <x:v>160</x:v>
      </x:c>
      <x:c r="M438" s="37" t="n">
        <x:f>ROUND(E438*G438,2)</x:f>
        <x:v>200</x:v>
      </x:c>
      <x:c r="N438" s="37" t="n">
        <x:f>ROUND(E438*I438,2)</x:f>
        <x:v>250</x:v>
      </x:c>
      <x:c r="O438" s="18" t="str">
        <x:v>50 books × 5 titles × 2 languages =500; title rights/translation already in production scope. Low/high are -20%/+25% rate sensitivity, not observed market range.</x:v>
      </x:c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48" customHeight="1">
      <x:c r="A439" s="1" t="str">
        <x:v>ADD-PENS</x:v>
      </x:c>
      <x:c r="B439" s="1" t="str">
        <x:v>Daycare operations</x:v>
      </x:c>
      <x:c r="C439" s="18" t="str">
        <x:v>Pens</x:v>
      </x:c>
      <x:c r="D439" s="18" t="str">
        <x:v>12-pack</x:v>
      </x:c>
      <x:c r="E439" s="32" t="n">
        <x:v>3</x:v>
      </x:c>
      <x:c r="F439" s="33" t="n">
        <x:v>6.4</x:v>
      </x:c>
      <x:c r="G439" s="33" t="n">
        <x:v>8</x:v>
      </x:c>
      <x:c r="H439" s="34" t="str">
        <x:v>recurring</x:v>
      </x:c>
      <x:c r="I439" s="33" t="n">
        <x:v>10</x:v>
      </x:c>
      <x:c r="J439" s="35" t="str">
        <x:v>Planning allowance; written quote needed</x:v>
      </x:c>
      <x:c r="K439" s="36" t="str">
        <x:v>ALLOW</x:v>
      </x:c>
      <x:c r="L439" s="37" t="n">
        <x:f>ROUND(E439*F439,2)</x:f>
        <x:v>19.2</x:v>
      </x:c>
      <x:c r="M439" s="37" t="n">
        <x:f>ROUND(E439*G439,2)</x:f>
        <x:v>24</x:v>
      </x:c>
      <x:c r="N439" s="37" t="n">
        <x:f>ROUND(E439*I439,2)</x:f>
        <x:v>30</x:v>
      </x:c>
      <x:c r="O439" s="18" t="str">
        <x:v>Micro-supply/equipment allowance; replace with chosen SKU and inventory count. Low/high are -20%/+25% rate sensitivity, not observed market range.</x:v>
      </x:c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48" customHeight="1">
      <x:c r="A440" s="1" t="str">
        <x:v>ADD-ERASER</x:v>
      </x:c>
      <x:c r="B440" s="1" t="str">
        <x:v>Daycare operations</x:v>
      </x:c>
      <x:c r="C440" s="18" t="str">
        <x:v>Erasers</x:v>
      </x:c>
      <x:c r="D440" s="18" t="str">
        <x:v>24-pack</x:v>
      </x:c>
      <x:c r="E440" s="32" t="n">
        <x:v>2</x:v>
      </x:c>
      <x:c r="F440" s="33" t="n">
        <x:v>4.8</x:v>
      </x:c>
      <x:c r="G440" s="33" t="n">
        <x:v>6</x:v>
      </x:c>
      <x:c r="H440" s="34" t="str">
        <x:v>recurring</x:v>
      </x:c>
      <x:c r="I440" s="33" t="n">
        <x:v>7.5</x:v>
      </x:c>
      <x:c r="J440" s="35" t="str">
        <x:v>Planning allowance; written quote needed</x:v>
      </x:c>
      <x:c r="K440" s="36" t="str">
        <x:v>ALLOW</x:v>
      </x:c>
      <x:c r="L440" s="37" t="n">
        <x:f>ROUND(E440*F440,2)</x:f>
        <x:v>9.6</x:v>
      </x:c>
      <x:c r="M440" s="37" t="n">
        <x:f>ROUND(E440*G440,2)</x:f>
        <x:v>12</x:v>
      </x:c>
      <x:c r="N440" s="37" t="n">
        <x:f>ROUND(E440*I440,2)</x:f>
        <x:v>15</x:v>
      </x:c>
      <x:c r="O440" s="18" t="str">
        <x:v>Micro-supply/equipment allowance; replace with chosen SKU and inventory count. Low/high are -20%/+25% rate sensitivity, not observed market range.</x:v>
      </x:c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48" customHeight="1">
      <x:c r="A441" s="1" t="str">
        <x:v>ADD-SHARP</x:v>
      </x:c>
      <x:c r="B441" s="1" t="str">
        <x:v>Daycare operations</x:v>
      </x:c>
      <x:c r="C441" s="18" t="str">
        <x:v>Safety pencil sharpeners</x:v>
      </x:c>
      <x:c r="D441" s="18" t="str">
        <x:v>unit</x:v>
      </x:c>
      <x:c r="E441" s="32" t="n">
        <x:v>4</x:v>
      </x:c>
      <x:c r="F441" s="33" t="n">
        <x:v>9.6</x:v>
      </x:c>
      <x:c r="G441" s="33" t="n">
        <x:v>12</x:v>
      </x:c>
      <x:c r="H441" s="34" t="str">
        <x:v>one_time</x:v>
      </x:c>
      <x:c r="I441" s="33" t="n">
        <x:v>15</x:v>
      </x:c>
      <x:c r="J441" s="35" t="str">
        <x:v>Planning allowance; written quote needed</x:v>
      </x:c>
      <x:c r="K441" s="36" t="str">
        <x:v>ALLOW</x:v>
      </x:c>
      <x:c r="L441" s="37" t="n">
        <x:f>ROUND(E441*F441,2)</x:f>
        <x:v>38.4</x:v>
      </x:c>
      <x:c r="M441" s="37" t="n">
        <x:f>ROUND(E441*G441,2)</x:f>
        <x:v>48</x:v>
      </x:c>
      <x:c r="N441" s="37" t="n">
        <x:f>ROUND(E441*I441,2)</x:f>
        <x:v>60</x:v>
      </x:c>
      <x:c r="O441" s="18" t="str">
        <x:v>Micro-supply/equipment allowance; replace with chosen SKU and inventory count. Low/high are -20%/+25% rate sensitivity, not observed market range.</x:v>
      </x:c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48" customHeight="1">
      <x:c r="A442" s="1" t="str">
        <x:v>ADD-TAPE</x:v>
      </x:c>
      <x:c r="B442" s="1" t="str">
        <x:v>Daycare operations</x:v>
      </x:c>
      <x:c r="C442" s="18" t="str">
        <x:v>Tape</x:v>
      </x:c>
      <x:c r="D442" s="18" t="str">
        <x:v>20-pack</x:v>
      </x:c>
      <x:c r="E442" s="32" t="n">
        <x:v>2</x:v>
      </x:c>
      <x:c r="F442" s="33" t="n">
        <x:v>29.99</x:v>
      </x:c>
      <x:c r="G442" s="33" t="n">
        <x:v>29.99</x:v>
      </x:c>
      <x:c r="H442" s="34" t="str">
        <x:v>recurring</x:v>
      </x:c>
      <x:c r="I442" s="33" t="n">
        <x:v>29.99</x:v>
      </x:c>
      <x:c r="J442" s="35" t="str">
        <x:v>Published rate × assumed quantity</x:v>
      </x:c>
      <x:c r="K442" s="36" t="str">
        <x:v>GLUE</x:v>
      </x:c>
      <x:c r="L442" s="37" t="n">
        <x:f>ROUND(E442*F442,2)</x:f>
        <x:v>59.98</x:v>
      </x:c>
      <x:c r="M442" s="37" t="n">
        <x:f>ROUND(E442*G442,2)</x:f>
        <x:v>59.98</x:v>
      </x:c>
      <x:c r="N442" s="37" t="n">
        <x:f>ROUND(E442*I442,2)</x:f>
        <x:v>59.98</x:v>
      </x:c>
      <x:c r="O442" s="18" t="str">
        <x:v>Micro-supply/equipment allowance; replace with chosen SKU and inventory count.</x:v>
      </x:c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48" customHeight="1">
      <x:c r="A443" s="1" t="str">
        <x:v>ADD-STAPLE</x:v>
      </x:c>
      <x:c r="B443" s="1" t="str">
        <x:v>Daycare operations</x:v>
      </x:c>
      <x:c r="C443" s="18" t="str">
        <x:v>Stapler</x:v>
      </x:c>
      <x:c r="D443" s="18" t="str">
        <x:v>unit</x:v>
      </x:c>
      <x:c r="E443" s="32" t="n">
        <x:v>2</x:v>
      </x:c>
      <x:c r="F443" s="33" t="n">
        <x:v>12</x:v>
      </x:c>
      <x:c r="G443" s="33" t="n">
        <x:v>15</x:v>
      </x:c>
      <x:c r="H443" s="34" t="str">
        <x:v>one_time</x:v>
      </x:c>
      <x:c r="I443" s="33" t="n">
        <x:v>18.75</x:v>
      </x:c>
      <x:c r="J443" s="35" t="str">
        <x:v>Planning allowance; written quote needed</x:v>
      </x:c>
      <x:c r="K443" s="36" t="str">
        <x:v>ALLOW</x:v>
      </x:c>
      <x:c r="L443" s="37" t="n">
        <x:f>ROUND(E443*F443,2)</x:f>
        <x:v>24</x:v>
      </x:c>
      <x:c r="M443" s="37" t="n">
        <x:f>ROUND(E443*G443,2)</x:f>
        <x:v>30</x:v>
      </x:c>
      <x:c r="N443" s="37" t="n">
        <x:f>ROUND(E443*I443,2)</x:f>
        <x:v>37.5</x:v>
      </x:c>
      <x:c r="O443" s="18" t="str">
        <x:v>Micro-supply/equipment allowance; replace with chosen SKU and inventory count. Low/high are -20%/+25% rate sensitivity, not observed market range.</x:v>
      </x:c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48" customHeight="1">
      <x:c r="A444" s="1" t="str">
        <x:v>ADD-STAPLES</x:v>
      </x:c>
      <x:c r="B444" s="1" t="str">
        <x:v>Daycare operations</x:v>
      </x:c>
      <x:c r="C444" s="18" t="str">
        <x:v>Staples</x:v>
      </x:c>
      <x:c r="D444" s="18" t="str">
        <x:v>box</x:v>
      </x:c>
      <x:c r="E444" s="32" t="n">
        <x:v>4</x:v>
      </x:c>
      <x:c r="F444" s="33" t="n">
        <x:v>3.2</x:v>
      </x:c>
      <x:c r="G444" s="33" t="n">
        <x:v>4</x:v>
      </x:c>
      <x:c r="H444" s="34" t="str">
        <x:v>recurring</x:v>
      </x:c>
      <x:c r="I444" s="33" t="n">
        <x:v>5</x:v>
      </x:c>
      <x:c r="J444" s="35" t="str">
        <x:v>Planning allowance; written quote needed</x:v>
      </x:c>
      <x:c r="K444" s="36" t="str">
        <x:v>ALLOW</x:v>
      </x:c>
      <x:c r="L444" s="37" t="n">
        <x:f>ROUND(E444*F444,2)</x:f>
        <x:v>12.8</x:v>
      </x:c>
      <x:c r="M444" s="37" t="n">
        <x:f>ROUND(E444*G444,2)</x:f>
        <x:v>16</x:v>
      </x:c>
      <x:c r="N444" s="37" t="n">
        <x:f>ROUND(E444*I444,2)</x:f>
        <x:v>20</x:v>
      </x:c>
      <x:c r="O444" s="18" t="str">
        <x:v>Micro-supply/equipment allowance; replace with chosen SKU and inventory count. Low/high are -20%/+25% rate sensitivity, not observed market range.</x:v>
      </x:c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48" customHeight="1">
      <x:c r="A445" s="1" t="str">
        <x:v>ADD-CLIPS</x:v>
      </x:c>
      <x:c r="B445" s="1" t="str">
        <x:v>Daycare operations</x:v>
      </x:c>
      <x:c r="C445" s="18" t="str">
        <x:v>Paper clips</x:v>
      </x:c>
      <x:c r="D445" s="18" t="str">
        <x:v>box</x:v>
      </x:c>
      <x:c r="E445" s="32" t="n">
        <x:v>4</x:v>
      </x:c>
      <x:c r="F445" s="33" t="n">
        <x:v>2.4</x:v>
      </x:c>
      <x:c r="G445" s="33" t="n">
        <x:v>3</x:v>
      </x:c>
      <x:c r="H445" s="34" t="str">
        <x:v>recurring</x:v>
      </x:c>
      <x:c r="I445" s="33" t="n">
        <x:v>3.75</x:v>
      </x:c>
      <x:c r="J445" s="35" t="str">
        <x:v>Planning allowance; written quote needed</x:v>
      </x:c>
      <x:c r="K445" s="36" t="str">
        <x:v>ALLOW</x:v>
      </x:c>
      <x:c r="L445" s="37" t="n">
        <x:f>ROUND(E445*F445,2)</x:f>
        <x:v>9.6</x:v>
      </x:c>
      <x:c r="M445" s="37" t="n">
        <x:f>ROUND(E445*G445,2)</x:f>
        <x:v>12</x:v>
      </x:c>
      <x:c r="N445" s="37" t="n">
        <x:f>ROUND(E445*I445,2)</x:f>
        <x:v>15</x:v>
      </x:c>
      <x:c r="O445" s="18" t="str">
        <x:v>Micro-supply/equipment allowance; replace with chosen SKU and inventory count. Low/high are -20%/+25% rate sensitivity, not observed market range.</x:v>
      </x:c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48" customHeight="1">
      <x:c r="A446" s="1" t="str">
        <x:v>ADD-BINDER</x:v>
      </x:c>
      <x:c r="B446" s="1" t="str">
        <x:v>Daycare operations</x:v>
      </x:c>
      <x:c r="C446" s="18" t="str">
        <x:v>Binders</x:v>
      </x:c>
      <x:c r="D446" s="18" t="str">
        <x:v>unit</x:v>
      </x:c>
      <x:c r="E446" s="32" t="n">
        <x:v>20</x:v>
      </x:c>
      <x:c r="F446" s="33" t="n">
        <x:v>4</x:v>
      </x:c>
      <x:c r="G446" s="33" t="n">
        <x:v>5</x:v>
      </x:c>
      <x:c r="H446" s="34" t="str">
        <x:v>one_time</x:v>
      </x:c>
      <x:c r="I446" s="33" t="n">
        <x:v>6.25</x:v>
      </x:c>
      <x:c r="J446" s="35" t="str">
        <x:v>Planning allowance; written quote needed</x:v>
      </x:c>
      <x:c r="K446" s="36" t="str">
        <x:v>ALLOW</x:v>
      </x:c>
      <x:c r="L446" s="37" t="n">
        <x:f>ROUND(E446*F446,2)</x:f>
        <x:v>80</x:v>
      </x:c>
      <x:c r="M446" s="37" t="n">
        <x:f>ROUND(E446*G446,2)</x:f>
        <x:v>100</x:v>
      </x:c>
      <x:c r="N446" s="37" t="n">
        <x:f>ROUND(E446*I446,2)</x:f>
        <x:v>125</x:v>
      </x:c>
      <x:c r="O446" s="18" t="str">
        <x:v>Micro-supply/equipment allowance; replace with chosen SKU and inventory count. Low/high are -20%/+25% rate sensitivity, not observed market range.</x:v>
      </x:c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48" customHeight="1">
      <x:c r="A447" s="1" t="str">
        <x:v>ADD-DIVIDER</x:v>
      </x:c>
      <x:c r="B447" s="1" t="str">
        <x:v>Daycare operations</x:v>
      </x:c>
      <x:c r="C447" s="18" t="str">
        <x:v>Dividers</x:v>
      </x:c>
      <x:c r="D447" s="18" t="str">
        <x:v>pack</x:v>
      </x:c>
      <x:c r="E447" s="32" t="n">
        <x:v>20</x:v>
      </x:c>
      <x:c r="F447" s="33" t="n">
        <x:v>2.4</x:v>
      </x:c>
      <x:c r="G447" s="33" t="n">
        <x:v>3</x:v>
      </x:c>
      <x:c r="H447" s="34" t="str">
        <x:v>one_time</x:v>
      </x:c>
      <x:c r="I447" s="33" t="n">
        <x:v>3.75</x:v>
      </x:c>
      <x:c r="J447" s="35" t="str">
        <x:v>Planning allowance; written quote needed</x:v>
      </x:c>
      <x:c r="K447" s="36" t="str">
        <x:v>ALLOW</x:v>
      </x:c>
      <x:c r="L447" s="37" t="n">
        <x:f>ROUND(E447*F447,2)</x:f>
        <x:v>48</x:v>
      </x:c>
      <x:c r="M447" s="37" t="n">
        <x:f>ROUND(E447*G447,2)</x:f>
        <x:v>60</x:v>
      </x:c>
      <x:c r="N447" s="37" t="n">
        <x:f>ROUND(E447*I447,2)</x:f>
        <x:v>75</x:v>
      </x:c>
      <x:c r="O447" s="18" t="str">
        <x:v>Micro-supply/equipment allowance; replace with chosen SKU and inventory count. Low/high are -20%/+25% rate sensitivity, not observed market range.</x:v>
      </x:c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48" customHeight="1">
      <x:c r="A448" s="1" t="str">
        <x:v>ADD-FOLDER</x:v>
      </x:c>
      <x:c r="B448" s="1" t="str">
        <x:v>Daycare operations</x:v>
      </x:c>
      <x:c r="C448" s="18" t="str">
        <x:v>Folders</x:v>
      </x:c>
      <x:c r="D448" s="18" t="str">
        <x:v>folder</x:v>
      </x:c>
      <x:c r="E448" s="32" t="n">
        <x:v>100</x:v>
      </x:c>
      <x:c r="F448" s="33" t="n">
        <x:v>0.4</x:v>
      </x:c>
      <x:c r="G448" s="33" t="n">
        <x:v>0.5</x:v>
      </x:c>
      <x:c r="H448" s="34" t="str">
        <x:v>one_time</x:v>
      </x:c>
      <x:c r="I448" s="33" t="n">
        <x:v>0.625</x:v>
      </x:c>
      <x:c r="J448" s="35" t="str">
        <x:v>Planning allowance; written quote needed</x:v>
      </x:c>
      <x:c r="K448" s="36" t="str">
        <x:v>ALLOW</x:v>
      </x:c>
      <x:c r="L448" s="37" t="n">
        <x:f>ROUND(E448*F448,2)</x:f>
        <x:v>40</x:v>
      </x:c>
      <x:c r="M448" s="37" t="n">
        <x:f>ROUND(E448*G448,2)</x:f>
        <x:v>50</x:v>
      </x:c>
      <x:c r="N448" s="37" t="n">
        <x:f>ROUND(E448*I448,2)</x:f>
        <x:v>62.5</x:v>
      </x:c>
      <x:c r="O448" s="18" t="str">
        <x:v>Micro-supply/equipment allowance; replace with chosen SKU and inventory count. Low/high are -20%/+25% rate sensitivity, not observed market range.</x:v>
      </x:c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48" customHeight="1">
      <x:c r="A449" s="1" t="str">
        <x:v>ADD-TISSUE</x:v>
      </x:c>
      <x:c r="B449" s="1" t="str">
        <x:v>Daycare operations</x:v>
      </x:c>
      <x:c r="C449" s="18" t="str">
        <x:v>Tissues</x:v>
      </x:c>
      <x:c r="D449" s="18" t="str">
        <x:v>box</x:v>
      </x:c>
      <x:c r="E449" s="32" t="n">
        <x:v>48</x:v>
      </x:c>
      <x:c r="F449" s="33" t="n">
        <x:v>1.6</x:v>
      </x:c>
      <x:c r="G449" s="33" t="n">
        <x:v>2</x:v>
      </x:c>
      <x:c r="H449" s="34" t="str">
        <x:v>recurring</x:v>
      </x:c>
      <x:c r="I449" s="33" t="n">
        <x:v>2.5</x:v>
      </x:c>
      <x:c r="J449" s="35" t="str">
        <x:v>Planning allowance; written quote needed</x:v>
      </x:c>
      <x:c r="K449" s="36" t="str">
        <x:v>ALLOW</x:v>
      </x:c>
      <x:c r="L449" s="37" t="n">
        <x:f>ROUND(E449*F449,2)</x:f>
        <x:v>76.8</x:v>
      </x:c>
      <x:c r="M449" s="37" t="n">
        <x:f>ROUND(E449*G449,2)</x:f>
        <x:v>96</x:v>
      </x:c>
      <x:c r="N449" s="37" t="n">
        <x:f>ROUND(E449*I449,2)</x:f>
        <x:v>120</x:v>
      </x:c>
      <x:c r="O449" s="18" t="str">
        <x:v>Micro-supply/equipment allowance; replace with chosen SKU and inventory count. Low/high are -20%/+25% rate sensitivity, not observed market range.</x:v>
      </x:c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48" customHeight="1">
      <x:c r="A450" s="1" t="str">
        <x:v>ADD-WIPES</x:v>
      </x:c>
      <x:c r="B450" s="1" t="str">
        <x:v>Daycare operations</x:v>
      </x:c>
      <x:c r="C450" s="18" t="str">
        <x:v>Child wipes</x:v>
      </x:c>
      <x:c r="D450" s="18" t="str">
        <x:v>pack</x:v>
      </x:c>
      <x:c r="E450" s="32" t="n">
        <x:v>60</x:v>
      </x:c>
      <x:c r="F450" s="33" t="n">
        <x:v>3.2</x:v>
      </x:c>
      <x:c r="G450" s="33" t="n">
        <x:v>4</x:v>
      </x:c>
      <x:c r="H450" s="34" t="str">
        <x:v>recurring</x:v>
      </x:c>
      <x:c r="I450" s="33" t="n">
        <x:v>5</x:v>
      </x:c>
      <x:c r="J450" s="35" t="str">
        <x:v>Planning allowance; written quote needed</x:v>
      </x:c>
      <x:c r="K450" s="36" t="str">
        <x:v>ALLOW</x:v>
      </x:c>
      <x:c r="L450" s="37" t="n">
        <x:f>ROUND(E450*F450,2)</x:f>
        <x:v>192</x:v>
      </x:c>
      <x:c r="M450" s="37" t="n">
        <x:f>ROUND(E450*G450,2)</x:f>
        <x:v>240</x:v>
      </x:c>
      <x:c r="N450" s="37" t="n">
        <x:f>ROUND(E450*I450,2)</x:f>
        <x:v>300</x:v>
      </x:c>
      <x:c r="O450" s="18" t="str">
        <x:v>Micro-supply/equipment allowance; replace with chosen SKU and inventory count. Low/high are -20%/+25% rate sensitivity, not observed market range.</x:v>
      </x:c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48" customHeight="1">
      <x:c r="A451" s="1" t="str">
        <x:v>ADD-BAGS</x:v>
      </x:c>
      <x:c r="B451" s="1" t="str">
        <x:v>Daycare operations</x:v>
      </x:c>
      <x:c r="C451" s="18" t="str">
        <x:v>Trash bags</x:v>
      </x:c>
      <x:c r="D451" s="18" t="str">
        <x:v>box</x:v>
      </x:c>
      <x:c r="E451" s="32" t="n">
        <x:v>12</x:v>
      </x:c>
      <x:c r="F451" s="33" t="n">
        <x:v>12</x:v>
      </x:c>
      <x:c r="G451" s="33" t="n">
        <x:v>15</x:v>
      </x:c>
      <x:c r="H451" s="34" t="str">
        <x:v>recurring</x:v>
      </x:c>
      <x:c r="I451" s="33" t="n">
        <x:v>18.75</x:v>
      </x:c>
      <x:c r="J451" s="35" t="str">
        <x:v>Planning allowance; written quote needed</x:v>
      </x:c>
      <x:c r="K451" s="36" t="str">
        <x:v>ALLOW</x:v>
      </x:c>
      <x:c r="L451" s="37" t="n">
        <x:f>ROUND(E451*F451,2)</x:f>
        <x:v>144</x:v>
      </x:c>
      <x:c r="M451" s="37" t="n">
        <x:f>ROUND(E451*G451,2)</x:f>
        <x:v>180</x:v>
      </x:c>
      <x:c r="N451" s="37" t="n">
        <x:f>ROUND(E451*I451,2)</x:f>
        <x:v>225</x:v>
      </x:c>
      <x:c r="O451" s="18" t="str">
        <x:v>Micro-supply/equipment allowance; replace with chosen SKU and inventory count. Low/high are -20%/+25% rate sensitivity, not observed market range.</x:v>
      </x:c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48" customHeight="1">
      <x:c r="A452" s="1" t="str">
        <x:v>ADD-MOP</x:v>
      </x:c>
      <x:c r="B452" s="1" t="str">
        <x:v>Daycare operations</x:v>
      </x:c>
      <x:c r="C452" s="18" t="str">
        <x:v>Mop</x:v>
      </x:c>
      <x:c r="D452" s="18" t="str">
        <x:v>unit</x:v>
      </x:c>
      <x:c r="E452" s="32" t="n">
        <x:v>2</x:v>
      </x:c>
      <x:c r="F452" s="33" t="n">
        <x:v>24</x:v>
      </x:c>
      <x:c r="G452" s="33" t="n">
        <x:v>30</x:v>
      </x:c>
      <x:c r="H452" s="34" t="str">
        <x:v>one_time</x:v>
      </x:c>
      <x:c r="I452" s="33" t="n">
        <x:v>37.5</x:v>
      </x:c>
      <x:c r="J452" s="35" t="str">
        <x:v>Planning allowance; written quote needed</x:v>
      </x:c>
      <x:c r="K452" s="36" t="str">
        <x:v>ALLOW</x:v>
      </x:c>
      <x:c r="L452" s="37" t="n">
        <x:f>ROUND(E452*F452,2)</x:f>
        <x:v>48</x:v>
      </x:c>
      <x:c r="M452" s="37" t="n">
        <x:f>ROUND(E452*G452,2)</x:f>
        <x:v>60</x:v>
      </x:c>
      <x:c r="N452" s="37" t="n">
        <x:f>ROUND(E452*I452,2)</x:f>
        <x:v>75</x:v>
      </x:c>
      <x:c r="O452" s="18" t="str">
        <x:v>Micro-supply/equipment allowance; replace with chosen SKU and inventory count. Low/high are -20%/+25% rate sensitivity, not observed market range.</x:v>
      </x:c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48" customHeight="1">
      <x:c r="A453" s="1" t="str">
        <x:v>ADD-BUCKET</x:v>
      </x:c>
      <x:c r="B453" s="1" t="str">
        <x:v>Daycare operations</x:v>
      </x:c>
      <x:c r="C453" s="18" t="str">
        <x:v>Bucket</x:v>
      </x:c>
      <x:c r="D453" s="18" t="str">
        <x:v>unit</x:v>
      </x:c>
      <x:c r="E453" s="32" t="n">
        <x:v>2</x:v>
      </x:c>
      <x:c r="F453" s="33" t="n">
        <x:v>12</x:v>
      </x:c>
      <x:c r="G453" s="33" t="n">
        <x:v>15</x:v>
      </x:c>
      <x:c r="H453" s="34" t="str">
        <x:v>one_time</x:v>
      </x:c>
      <x:c r="I453" s="33" t="n">
        <x:v>18.75</x:v>
      </x:c>
      <x:c r="J453" s="35" t="str">
        <x:v>Planning allowance; written quote needed</x:v>
      </x:c>
      <x:c r="K453" s="36" t="str">
        <x:v>ALLOW</x:v>
      </x:c>
      <x:c r="L453" s="37" t="n">
        <x:f>ROUND(E453*F453,2)</x:f>
        <x:v>24</x:v>
      </x:c>
      <x:c r="M453" s="37" t="n">
        <x:f>ROUND(E453*G453,2)</x:f>
        <x:v>30</x:v>
      </x:c>
      <x:c r="N453" s="37" t="n">
        <x:f>ROUND(E453*I453,2)</x:f>
        <x:v>37.5</x:v>
      </x:c>
      <x:c r="O453" s="18" t="str">
        <x:v>Micro-supply/equipment allowance; replace with chosen SKU and inventory count. Low/high are -20%/+25% rate sensitivity, not observed market range.</x:v>
      </x:c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48" customHeight="1">
      <x:c r="A454" s="1" t="str">
        <x:v>ADD-BROOM</x:v>
      </x:c>
      <x:c r="B454" s="1" t="str">
        <x:v>Daycare operations</x:v>
      </x:c>
      <x:c r="C454" s="18" t="str">
        <x:v>Broom</x:v>
      </x:c>
      <x:c r="D454" s="18" t="str">
        <x:v>unit</x:v>
      </x:c>
      <x:c r="E454" s="32" t="n">
        <x:v>2</x:v>
      </x:c>
      <x:c r="F454" s="33" t="n">
        <x:v>16</x:v>
      </x:c>
      <x:c r="G454" s="33" t="n">
        <x:v>20</x:v>
      </x:c>
      <x:c r="H454" s="34" t="str">
        <x:v>one_time</x:v>
      </x:c>
      <x:c r="I454" s="33" t="n">
        <x:v>25</x:v>
      </x:c>
      <x:c r="J454" s="35" t="str">
        <x:v>Planning allowance; written quote needed</x:v>
      </x:c>
      <x:c r="K454" s="36" t="str">
        <x:v>ALLOW</x:v>
      </x:c>
      <x:c r="L454" s="37" t="n">
        <x:f>ROUND(E454*F454,2)</x:f>
        <x:v>32</x:v>
      </x:c>
      <x:c r="M454" s="37" t="n">
        <x:f>ROUND(E454*G454,2)</x:f>
        <x:v>40</x:v>
      </x:c>
      <x:c r="N454" s="37" t="n">
        <x:f>ROUND(E454*I454,2)</x:f>
        <x:v>50</x:v>
      </x:c>
      <x:c r="O454" s="18" t="str">
        <x:v>Micro-supply/equipment allowance; replace with chosen SKU and inventory count. Low/high are -20%/+25% rate sensitivity, not observed market range.</x:v>
      </x:c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48" customHeight="1">
      <x:c r="A455" s="1" t="str">
        <x:v>ADD-VAC</x:v>
      </x:c>
      <x:c r="B455" s="1" t="str">
        <x:v>Daycare operations</x:v>
      </x:c>
      <x:c r="C455" s="18" t="str">
        <x:v>Vacuum</x:v>
      </x:c>
      <x:c r="D455" s="18" t="str">
        <x:v>unit</x:v>
      </x:c>
      <x:c r="E455" s="32" t="n">
        <x:v>1</x:v>
      </x:c>
      <x:c r="F455" s="33" t="n">
        <x:v>160</x:v>
      </x:c>
      <x:c r="G455" s="33" t="n">
        <x:v>200</x:v>
      </x:c>
      <x:c r="H455" s="34" t="str">
        <x:v>one_time</x:v>
      </x:c>
      <x:c r="I455" s="33" t="n">
        <x:v>250</x:v>
      </x:c>
      <x:c r="J455" s="35" t="str">
        <x:v>Planning allowance; written quote needed</x:v>
      </x:c>
      <x:c r="K455" s="36" t="str">
        <x:v>ALLOW</x:v>
      </x:c>
      <x:c r="L455" s="37" t="n">
        <x:f>ROUND(E455*F455,2)</x:f>
        <x:v>160</x:v>
      </x:c>
      <x:c r="M455" s="37" t="n">
        <x:f>ROUND(E455*G455,2)</x:f>
        <x:v>200</x:v>
      </x:c>
      <x:c r="N455" s="37" t="n">
        <x:f>ROUND(E455*I455,2)</x:f>
        <x:v>250</x:v>
      </x:c>
      <x:c r="O455" s="18" t="str">
        <x:v>Micro-supply/equipment allowance; replace with chosen SKU and inventory count. Low/high are -20%/+25% rate sensitivity, not observed market range.</x:v>
      </x:c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48" customHeight="1">
      <x:c r="A456" s="1" t="str">
        <x:v>ADD-DETERGENT</x:v>
      </x:c>
      <x:c r="B456" s="1" t="str">
        <x:v>Daycare operations</x:v>
      </x:c>
      <x:c r="C456" s="18" t="str">
        <x:v>Laundry detergent</x:v>
      </x:c>
      <x:c r="D456" s="18" t="str">
        <x:v>bottle</x:v>
      </x:c>
      <x:c r="E456" s="32" t="n">
        <x:v>12</x:v>
      </x:c>
      <x:c r="F456" s="33" t="n">
        <x:v>12</x:v>
      </x:c>
      <x:c r="G456" s="33" t="n">
        <x:v>15</x:v>
      </x:c>
      <x:c r="H456" s="34" t="str">
        <x:v>recurring</x:v>
      </x:c>
      <x:c r="I456" s="33" t="n">
        <x:v>18.75</x:v>
      </x:c>
      <x:c r="J456" s="35" t="str">
        <x:v>Planning allowance; written quote needed</x:v>
      </x:c>
      <x:c r="K456" s="36" t="str">
        <x:v>ALLOW</x:v>
      </x:c>
      <x:c r="L456" s="37" t="n">
        <x:f>ROUND(E456*F456,2)</x:f>
        <x:v>144</x:v>
      </x:c>
      <x:c r="M456" s="37" t="n">
        <x:f>ROUND(E456*G456,2)</x:f>
        <x:v>180</x:v>
      </x:c>
      <x:c r="N456" s="37" t="n">
        <x:f>ROUND(E456*I456,2)</x:f>
        <x:v>225</x:v>
      </x:c>
      <x:c r="O456" s="18" t="str">
        <x:v>Micro-supply/equipment allowance; replace with chosen SKU and inventory count. Low/high are -20%/+25% rate sensitivity, not observed market range.</x:v>
      </x:c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48" customHeight="1">
      <x:c r="A457" s="1" t="str">
        <x:v>ADD-SPONGE</x:v>
      </x:c>
      <x:c r="B457" s="1" t="str">
        <x:v>Daycare operations</x:v>
      </x:c>
      <x:c r="C457" s="18" t="str">
        <x:v>Sponges</x:v>
      </x:c>
      <x:c r="D457" s="18" t="str">
        <x:v>pack</x:v>
      </x:c>
      <x:c r="E457" s="32" t="n">
        <x:v>12</x:v>
      </x:c>
      <x:c r="F457" s="33" t="n">
        <x:v>4</x:v>
      </x:c>
      <x:c r="G457" s="33" t="n">
        <x:v>5</x:v>
      </x:c>
      <x:c r="H457" s="34" t="str">
        <x:v>recurring</x:v>
      </x:c>
      <x:c r="I457" s="33" t="n">
        <x:v>6.25</x:v>
      </x:c>
      <x:c r="J457" s="35" t="str">
        <x:v>Planning allowance; written quote needed</x:v>
      </x:c>
      <x:c r="K457" s="36" t="str">
        <x:v>ALLOW</x:v>
      </x:c>
      <x:c r="L457" s="37" t="n">
        <x:f>ROUND(E457*F457,2)</x:f>
        <x:v>48</x:v>
      </x:c>
      <x:c r="M457" s="37" t="n">
        <x:f>ROUND(E457*G457,2)</x:f>
        <x:v>60</x:v>
      </x:c>
      <x:c r="N457" s="37" t="n">
        <x:f>ROUND(E457*I457,2)</x:f>
        <x:v>75</x:v>
      </x:c>
      <x:c r="O457" s="18" t="str">
        <x:v>Micro-supply/equipment allowance; replace with chosen SKU and inventory count. Low/high are -20%/+25% rate sensitivity, not observed market range.</x:v>
      </x:c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48" customHeight="1">
      <x:c r="A458" s="1" t="str">
        <x:v>ADD-BRUSH</x:v>
      </x:c>
      <x:c r="B458" s="1" t="str">
        <x:v>Daycare operations</x:v>
      </x:c>
      <x:c r="C458" s="18" t="str">
        <x:v>Paint brushes</x:v>
      </x:c>
      <x:c r="D458" s="18" t="str">
        <x:v>pack</x:v>
      </x:c>
      <x:c r="E458" s="32" t="n">
        <x:v>4</x:v>
      </x:c>
      <x:c r="F458" s="33" t="n">
        <x:v>12</x:v>
      </x:c>
      <x:c r="G458" s="33" t="n">
        <x:v>15</x:v>
      </x:c>
      <x:c r="H458" s="34" t="str">
        <x:v>one_time</x:v>
      </x:c>
      <x:c r="I458" s="33" t="n">
        <x:v>18.75</x:v>
      </x:c>
      <x:c r="J458" s="35" t="str">
        <x:v>Planning allowance; written quote needed</x:v>
      </x:c>
      <x:c r="K458" s="36" t="str">
        <x:v>ALLOW</x:v>
      </x:c>
      <x:c r="L458" s="37" t="n">
        <x:f>ROUND(E458*F458,2)</x:f>
        <x:v>48</x:v>
      </x:c>
      <x:c r="M458" s="37" t="n">
        <x:f>ROUND(E458*G458,2)</x:f>
        <x:v>60</x:v>
      </x:c>
      <x:c r="N458" s="37" t="n">
        <x:f>ROUND(E458*I458,2)</x:f>
        <x:v>75</x:v>
      </x:c>
      <x:c r="O458" s="18" t="str">
        <x:v>Micro-supply/equipment allowance; replace with chosen SKU and inventory count. Low/high are -20%/+25% rate sensitivity, not observed market range.</x:v>
      </x:c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48" customHeight="1">
      <x:c r="A459" s="1" t="str">
        <x:v>ADD-FIRE</x:v>
      </x:c>
      <x:c r="B459" s="1" t="str">
        <x:v>Daycare operations</x:v>
      </x:c>
      <x:c r="C459" s="18" t="str">
        <x:v>Fire extinguisher</x:v>
      </x:c>
      <x:c r="D459" s="18" t="str">
        <x:v>unit</x:v>
      </x:c>
      <x:c r="E459" s="32" t="n">
        <x:v>6</x:v>
      </x:c>
      <x:c r="F459" s="33" t="n">
        <x:v>48</x:v>
      </x:c>
      <x:c r="G459" s="33" t="n">
        <x:v>60</x:v>
      </x:c>
      <x:c r="H459" s="34" t="str">
        <x:v>one_time</x:v>
      </x:c>
      <x:c r="I459" s="33" t="n">
        <x:v>75</x:v>
      </x:c>
      <x:c r="J459" s="35" t="str">
        <x:v>Planning allowance; written quote needed</x:v>
      </x:c>
      <x:c r="K459" s="36" t="str">
        <x:v>ALLOW</x:v>
      </x:c>
      <x:c r="L459" s="37" t="n">
        <x:f>ROUND(E459*F459,2)</x:f>
        <x:v>288</x:v>
      </x:c>
      <x:c r="M459" s="37" t="n">
        <x:f>ROUND(E459*G459,2)</x:f>
        <x:v>360</x:v>
      </x:c>
      <x:c r="N459" s="37" t="n">
        <x:f>ROUND(E459*I459,2)</x:f>
        <x:v>450</x:v>
      </x:c>
      <x:c r="O459" s="18" t="str">
        <x:v>Micro-supply/equipment allowance; replace with chosen SKU and inventory count. Low/high are -20%/+25% rate sensitivity, not observed market range.</x:v>
      </x:c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48" customHeight="1">
      <x:c r="A460" s="1" t="str">
        <x:v>ADD-CAM</x:v>
      </x:c>
      <x:c r="B460" s="1" t="str">
        <x:v>Daycare operations</x:v>
      </x:c>
      <x:c r="C460" s="18" t="str">
        <x:v>Security cameras</x:v>
      </x:c>
      <x:c r="D460" s="18" t="str">
        <x:v>unit</x:v>
      </x:c>
      <x:c r="E460" s="32" t="n">
        <x:v>6</x:v>
      </x:c>
      <x:c r="F460" s="33" t="n">
        <x:v>120</x:v>
      </x:c>
      <x:c r="G460" s="33" t="n">
        <x:v>150</x:v>
      </x:c>
      <x:c r="H460" s="34" t="str">
        <x:v>one_time</x:v>
      </x:c>
      <x:c r="I460" s="33" t="n">
        <x:v>187.5</x:v>
      </x:c>
      <x:c r="J460" s="35" t="str">
        <x:v>Planning allowance; written quote needed</x:v>
      </x:c>
      <x:c r="K460" s="36" t="str">
        <x:v>ALLOW</x:v>
      </x:c>
      <x:c r="L460" s="37" t="n">
        <x:f>ROUND(E460*F460,2)</x:f>
        <x:v>720</x:v>
      </x:c>
      <x:c r="M460" s="37" t="n">
        <x:f>ROUND(E460*G460,2)</x:f>
        <x:v>900</x:v>
      </x:c>
      <x:c r="N460" s="37" t="n">
        <x:f>ROUND(E460*I460,2)</x:f>
        <x:v>1125</x:v>
      </x:c>
      <x:c r="O460" s="18" t="str">
        <x:v>Micro-supply/equipment allowance; replace with chosen SKU and inventory count. Low/high are -20%/+25% rate sensitivity, not observed market range.</x:v>
      </x:c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48" customHeight="1">
      <x:c r="A461" s="1" t="str">
        <x:v>ADD-ACCESS</x:v>
      </x:c>
      <x:c r="B461" s="1" t="str">
        <x:v>Daycare operations</x:v>
      </x:c>
      <x:c r="C461" s="18" t="str">
        <x:v>Door access hardware installation</x:v>
      </x:c>
      <x:c r="D461" s="18" t="str">
        <x:v>installation</x:v>
      </x:c>
      <x:c r="E461" s="32" t="n">
        <x:v>1</x:v>
      </x:c>
      <x:c r="F461" s="33" t="n">
        <x:v>1200</x:v>
      </x:c>
      <x:c r="G461" s="33" t="n">
        <x:v>1500</x:v>
      </x:c>
      <x:c r="H461" s="34" t="str">
        <x:v>one_time</x:v>
      </x:c>
      <x:c r="I461" s="33" t="n">
        <x:v>1875</x:v>
      </x:c>
      <x:c r="J461" s="35" t="str">
        <x:v>Planning allowance; written quote needed</x:v>
      </x:c>
      <x:c r="K461" s="36" t="str">
        <x:v>ALLOW</x:v>
      </x:c>
      <x:c r="L461" s="37" t="n">
        <x:f>ROUND(E461*F461,2)</x:f>
        <x:v>1200</x:v>
      </x:c>
      <x:c r="M461" s="37" t="n">
        <x:f>ROUND(E461*G461,2)</x:f>
        <x:v>1500</x:v>
      </x:c>
      <x:c r="N461" s="37" t="n">
        <x:f>ROUND(E461*I461,2)</x:f>
        <x:v>1875</x:v>
      </x:c>
      <x:c r="O461" s="18" t="str">
        <x:v>Micro-supply/equipment allowance; replace with chosen SKU and inventory count. Low/high are -20%/+25% rate sensitivity, not observed market range.</x:v>
      </x:c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48" customHeight="1">
      <x:c r="A462" s="1" t="str">
        <x:v>ADD-PC</x:v>
      </x:c>
      <x:c r="B462" s="1" t="str">
        <x:v>Daycare operations</x:v>
      </x:c>
      <x:c r="C462" s="18" t="str">
        <x:v>Staff laptop</x:v>
      </x:c>
      <x:c r="D462" s="18" t="str">
        <x:v>laptop</x:v>
      </x:c>
      <x:c r="E462" s="32" t="n">
        <x:v>3</x:v>
      </x:c>
      <x:c r="F462" s="33" t="n">
        <x:v>720</x:v>
      </x:c>
      <x:c r="G462" s="33" t="n">
        <x:v>900</x:v>
      </x:c>
      <x:c r="H462" s="34" t="str">
        <x:v>one_time</x:v>
      </x:c>
      <x:c r="I462" s="33" t="n">
        <x:v>1125</x:v>
      </x:c>
      <x:c r="J462" s="35" t="str">
        <x:v>Planning allowance; written quote needed</x:v>
      </x:c>
      <x:c r="K462" s="36" t="str">
        <x:v>ALLOW</x:v>
      </x:c>
      <x:c r="L462" s="37" t="n">
        <x:f>ROUND(E462*F462,2)</x:f>
        <x:v>2160</x:v>
      </x:c>
      <x:c r="M462" s="37" t="n">
        <x:f>ROUND(E462*G462,2)</x:f>
        <x:v>2700</x:v>
      </x:c>
      <x:c r="N462" s="37" t="n">
        <x:f>ROUND(E462*I462,2)</x:f>
        <x:v>3375</x:v>
      </x:c>
      <x:c r="O462" s="18" t="str">
        <x:v>Micro-supply/equipment allowance; replace with chosen SKU and inventory count. Low/high are -20%/+25% rate sensitivity, not observed market range.</x:v>
      </x:c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48" customHeight="1">
      <x:c r="A463" s="1" t="str">
        <x:v>ADD-ROUTER</x:v>
      </x:c>
      <x:c r="B463" s="1" t="str">
        <x:v>Daycare operations</x:v>
      </x:c>
      <x:c r="C463" s="18" t="str">
        <x:v>Business router</x:v>
      </x:c>
      <x:c r="D463" s="18" t="str">
        <x:v>unit</x:v>
      </x:c>
      <x:c r="E463" s="32" t="n">
        <x:v>1</x:v>
      </x:c>
      <x:c r="F463" s="33" t="n">
        <x:v>200</x:v>
      </x:c>
      <x:c r="G463" s="33" t="n">
        <x:v>250</x:v>
      </x:c>
      <x:c r="H463" s="34" t="str">
        <x:v>one_time</x:v>
      </x:c>
      <x:c r="I463" s="33" t="n">
        <x:v>312.5</x:v>
      </x:c>
      <x:c r="J463" s="35" t="str">
        <x:v>Planning allowance; written quote needed</x:v>
      </x:c>
      <x:c r="K463" s="36" t="str">
        <x:v>ALLOW</x:v>
      </x:c>
      <x:c r="L463" s="37" t="n">
        <x:f>ROUND(E463*F463,2)</x:f>
        <x:v>200</x:v>
      </x:c>
      <x:c r="M463" s="37" t="n">
        <x:f>ROUND(E463*G463,2)</x:f>
        <x:v>250</x:v>
      </x:c>
      <x:c r="N463" s="37" t="n">
        <x:f>ROUND(E463*I463,2)</x:f>
        <x:v>312.5</x:v>
      </x:c>
      <x:c r="O463" s="18" t="str">
        <x:v>Micro-supply/equipment allowance; replace with chosen SKU and inventory count. Low/high are -20%/+25% rate sensitivity, not observed market range.</x:v>
      </x:c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48" customHeight="1">
      <x:c r="A464" s="1" t="str">
        <x:v>ADD-WIFI</x:v>
      </x:c>
      <x:c r="B464" s="1" t="str">
        <x:v>Daycare operations</x:v>
      </x:c>
      <x:c r="C464" s="18" t="str">
        <x:v>Wi-Fi access point</x:v>
      </x:c>
      <x:c r="D464" s="18" t="str">
        <x:v>unit</x:v>
      </x:c>
      <x:c r="E464" s="32" t="n">
        <x:v>3</x:v>
      </x:c>
      <x:c r="F464" s="33" t="n">
        <x:v>120</x:v>
      </x:c>
      <x:c r="G464" s="33" t="n">
        <x:v>150</x:v>
      </x:c>
      <x:c r="H464" s="34" t="str">
        <x:v>one_time</x:v>
      </x:c>
      <x:c r="I464" s="33" t="n">
        <x:v>187.5</x:v>
      </x:c>
      <x:c r="J464" s="35" t="str">
        <x:v>Planning allowance; written quote needed</x:v>
      </x:c>
      <x:c r="K464" s="36" t="str">
        <x:v>ALLOW</x:v>
      </x:c>
      <x:c r="L464" s="37" t="n">
        <x:f>ROUND(E464*F464,2)</x:f>
        <x:v>360</x:v>
      </x:c>
      <x:c r="M464" s="37" t="n">
        <x:f>ROUND(E464*G464,2)</x:f>
        <x:v>450</x:v>
      </x:c>
      <x:c r="N464" s="37" t="n">
        <x:f>ROUND(E464*I464,2)</x:f>
        <x:v>562.5</x:v>
      </x:c>
      <x:c r="O464" s="18" t="str">
        <x:v>Micro-supply/equipment allowance; replace with chosen SKU and inventory count. Low/high are -20%/+25% rate sensitivity, not observed market range.</x:v>
      </x:c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48" customHeight="1">
      <x:c r="A465" s="1" t="str">
        <x:v>ADD-UPS</x:v>
      </x:c>
      <x:c r="B465" s="1" t="str">
        <x:v>Daycare operations</x:v>
      </x:c>
      <x:c r="C465" s="18" t="str">
        <x:v>Battery backup</x:v>
      </x:c>
      <x:c r="D465" s="18" t="str">
        <x:v>unit</x:v>
      </x:c>
      <x:c r="E465" s="32" t="n">
        <x:v>2</x:v>
      </x:c>
      <x:c r="F465" s="33" t="n">
        <x:v>120</x:v>
      </x:c>
      <x:c r="G465" s="33" t="n">
        <x:v>150</x:v>
      </x:c>
      <x:c r="H465" s="34" t="str">
        <x:v>one_time</x:v>
      </x:c>
      <x:c r="I465" s="33" t="n">
        <x:v>187.5</x:v>
      </x:c>
      <x:c r="J465" s="35" t="str">
        <x:v>Planning allowance; written quote needed</x:v>
      </x:c>
      <x:c r="K465" s="36" t="str">
        <x:v>ALLOW</x:v>
      </x:c>
      <x:c r="L465" s="37" t="n">
        <x:f>ROUND(E465*F465,2)</x:f>
        <x:v>240</x:v>
      </x:c>
      <x:c r="M465" s="37" t="n">
        <x:f>ROUND(E465*G465,2)</x:f>
        <x:v>300</x:v>
      </x:c>
      <x:c r="N465" s="37" t="n">
        <x:f>ROUND(E465*I465,2)</x:f>
        <x:v>375</x:v>
      </x:c>
      <x:c r="O465" s="18" t="str">
        <x:v>Micro-supply/equipment allowance; replace with chosen SKU and inventory count. Low/high are -20%/+25% rate sensitivity, not observed market range.</x:v>
      </x:c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48" customHeight="1">
      <x:c r="A466" s="1" t="str">
        <x:v>ADD-PRINTER</x:v>
      </x:c>
      <x:c r="B466" s="1" t="str">
        <x:v>Daycare operations</x:v>
      </x:c>
      <x:c r="C466" s="18" t="str">
        <x:v>Printer</x:v>
      </x:c>
      <x:c r="D466" s="18" t="str">
        <x:v>unit</x:v>
      </x:c>
      <x:c r="E466" s="32" t="n">
        <x:v>1</x:v>
      </x:c>
      <x:c r="F466" s="33" t="n">
        <x:v>240</x:v>
      </x:c>
      <x:c r="G466" s="33" t="n">
        <x:v>300</x:v>
      </x:c>
      <x:c r="H466" s="34" t="str">
        <x:v>one_time</x:v>
      </x:c>
      <x:c r="I466" s="33" t="n">
        <x:v>375</x:v>
      </x:c>
      <x:c r="J466" s="35" t="str">
        <x:v>Planning allowance; written quote needed</x:v>
      </x:c>
      <x:c r="K466" s="36" t="str">
        <x:v>ALLOW</x:v>
      </x:c>
      <x:c r="L466" s="37" t="n">
        <x:f>ROUND(E466*F466,2)</x:f>
        <x:v>240</x:v>
      </x:c>
      <x:c r="M466" s="37" t="n">
        <x:f>ROUND(E466*G466,2)</x:f>
        <x:v>300</x:v>
      </x:c>
      <x:c r="N466" s="37" t="n">
        <x:f>ROUND(E466*I466,2)</x:f>
        <x:v>375</x:v>
      </x:c>
      <x:c r="O466" s="18" t="str">
        <x:v>Micro-supply/equipment allowance; replace with chosen SKU and inventory count. Low/high are -20%/+25% rate sensitivity, not observed market range.</x:v>
      </x:c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48" customHeight="1">
      <x:c r="A467" s="1" t="str">
        <x:v>ADD-LAM</x:v>
      </x:c>
      <x:c r="B467" s="1" t="str">
        <x:v>Daycare operations</x:v>
      </x:c>
      <x:c r="C467" s="18" t="str">
        <x:v>Laminator</x:v>
      </x:c>
      <x:c r="D467" s="18" t="str">
        <x:v>unit</x:v>
      </x:c>
      <x:c r="E467" s="32" t="n">
        <x:v>1</x:v>
      </x:c>
      <x:c r="F467" s="33" t="n">
        <x:v>80</x:v>
      </x:c>
      <x:c r="G467" s="33" t="n">
        <x:v>100</x:v>
      </x:c>
      <x:c r="H467" s="34" t="str">
        <x:v>one_time</x:v>
      </x:c>
      <x:c r="I467" s="33" t="n">
        <x:v>125</x:v>
      </x:c>
      <x:c r="J467" s="35" t="str">
        <x:v>Planning allowance; written quote needed</x:v>
      </x:c>
      <x:c r="K467" s="36" t="str">
        <x:v>ALLOW</x:v>
      </x:c>
      <x:c r="L467" s="37" t="n">
        <x:f>ROUND(E467*F467,2)</x:f>
        <x:v>80</x:v>
      </x:c>
      <x:c r="M467" s="37" t="n">
        <x:f>ROUND(E467*G467,2)</x:f>
        <x:v>100</x:v>
      </x:c>
      <x:c r="N467" s="37" t="n">
        <x:f>ROUND(E467*I467,2)</x:f>
        <x:v>125</x:v>
      </x:c>
      <x:c r="O467" s="18" t="str">
        <x:v>Micro-supply/equipment allowance; replace with chosen SKU and inventory count. Low/high are -20%/+25% rate sensitivity, not observed market range.</x:v>
      </x:c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48" customHeight="1">
      <x:c r="A468" s="1" t="str">
        <x:v>ADD-DIAPER</x:v>
      </x:c>
      <x:c r="B468" s="1" t="str">
        <x:v>Daycare operations</x:v>
      </x:c>
      <x:c r="C468" s="18" t="str">
        <x:v>Emergency diapers</x:v>
      </x:c>
      <x:c r="D468" s="18" t="str">
        <x:v>pack</x:v>
      </x:c>
      <x:c r="E468" s="32" t="n">
        <x:v>12</x:v>
      </x:c>
      <x:c r="F468" s="33" t="n">
        <x:v>24</x:v>
      </x:c>
      <x:c r="G468" s="33" t="n">
        <x:v>30</x:v>
      </x:c>
      <x:c r="H468" s="34" t="str">
        <x:v>recurring</x:v>
      </x:c>
      <x:c r="I468" s="33" t="n">
        <x:v>37.5</x:v>
      </x:c>
      <x:c r="J468" s="35" t="str">
        <x:v>Planning allowance; written quote needed</x:v>
      </x:c>
      <x:c r="K468" s="36" t="str">
        <x:v>ALLOW</x:v>
      </x:c>
      <x:c r="L468" s="37" t="n">
        <x:f>ROUND(E468*F468,2)</x:f>
        <x:v>288</x:v>
      </x:c>
      <x:c r="M468" s="37" t="n">
        <x:f>ROUND(E468*G468,2)</x:f>
        <x:v>360</x:v>
      </x:c>
      <x:c r="N468" s="37" t="n">
        <x:f>ROUND(E468*I468,2)</x:f>
        <x:v>450</x:v>
      </x:c>
      <x:c r="O468" s="18" t="str">
        <x:v>Micro-supply/equipment allowance; replace with chosen SKU and inventory count. Low/high are -20%/+25% rate sensitivity, not observed market range.</x:v>
      </x:c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48" customHeight="1">
      <x:c r="A469" s="1" t="str">
        <x:v>ADD-COTTON</x:v>
      </x:c>
      <x:c r="B469" s="1" t="str">
        <x:v>Daycare operations</x:v>
      </x:c>
      <x:c r="C469" s="18" t="str">
        <x:v>Emergency spare child clothes</x:v>
      </x:c>
      <x:c r="D469" s="18" t="str">
        <x:v>set</x:v>
      </x:c>
      <x:c r="E469" s="32" t="n">
        <x:v>20</x:v>
      </x:c>
      <x:c r="F469" s="33" t="n">
        <x:v>12</x:v>
      </x:c>
      <x:c r="G469" s="33" t="n">
        <x:v>15</x:v>
      </x:c>
      <x:c r="H469" s="34" t="str">
        <x:v>one_time</x:v>
      </x:c>
      <x:c r="I469" s="33" t="n">
        <x:v>18.75</x:v>
      </x:c>
      <x:c r="J469" s="35" t="str">
        <x:v>Planning allowance; written quote needed</x:v>
      </x:c>
      <x:c r="K469" s="36" t="str">
        <x:v>ALLOW</x:v>
      </x:c>
      <x:c r="L469" s="37" t="n">
        <x:f>ROUND(E469*F469,2)</x:f>
        <x:v>240</x:v>
      </x:c>
      <x:c r="M469" s="37" t="n">
        <x:f>ROUND(E469*G469,2)</x:f>
        <x:v>300</x:v>
      </x:c>
      <x:c r="N469" s="37" t="n">
        <x:f>ROUND(E469*I469,2)</x:f>
        <x:v>375</x:v>
      </x:c>
      <x:c r="O469" s="18" t="str">
        <x:v>Micro-supply/equipment allowance; replace with chosen SKU and inventory count. Low/high are -20%/+25% rate sensitivity, not observed market range.</x:v>
      </x:c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48" customHeight="1">
      <x:c r="A470" s="1" t="str">
        <x:v>ADD-BIN</x:v>
      </x:c>
      <x:c r="B470" s="1" t="str">
        <x:v>Daycare operations</x:v>
      </x:c>
      <x:c r="C470" s="18" t="str">
        <x:v>Waste bins</x:v>
      </x:c>
      <x:c r="D470" s="18" t="str">
        <x:v>unit</x:v>
      </x:c>
      <x:c r="E470" s="32" t="n">
        <x:v>8</x:v>
      </x:c>
      <x:c r="F470" s="33" t="n">
        <x:v>20</x:v>
      </x:c>
      <x:c r="G470" s="33" t="n">
        <x:v>25</x:v>
      </x:c>
      <x:c r="H470" s="34" t="str">
        <x:v>one_time</x:v>
      </x:c>
      <x:c r="I470" s="33" t="n">
        <x:v>31.25</x:v>
      </x:c>
      <x:c r="J470" s="35" t="str">
        <x:v>Planning allowance; written quote needed</x:v>
      </x:c>
      <x:c r="K470" s="36" t="str">
        <x:v>ALLOW</x:v>
      </x:c>
      <x:c r="L470" s="37" t="n">
        <x:f>ROUND(E470*F470,2)</x:f>
        <x:v>160</x:v>
      </x:c>
      <x:c r="M470" s="37" t="n">
        <x:f>ROUND(E470*G470,2)</x:f>
        <x:v>200</x:v>
      </x:c>
      <x:c r="N470" s="37" t="n">
        <x:f>ROUND(E470*I470,2)</x:f>
        <x:v>250</x:v>
      </x:c>
      <x:c r="O470" s="18" t="str">
        <x:v>Micro-supply/equipment allowance; replace with chosen SKU and inventory count. Low/high are -20%/+25% rate sensitivity, not observed market range.</x:v>
      </x:c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48" customHeight="1">
      <x:c r="A471" s="1" t="str">
        <x:v>ADD-SCHEDULE</x:v>
      </x:c>
      <x:c r="B471" s="1" t="str">
        <x:v>Technology</x:v>
      </x:c>
      <x:c r="C471" s="18" t="str">
        <x:v>Staff scheduling</x:v>
      </x:c>
      <x:c r="D471" s="18" t="str">
        <x:v>month</x:v>
      </x:c>
      <x:c r="E471" s="32" t="n">
        <x:v>12</x:v>
      </x:c>
      <x:c r="F471" s="33" t="n">
        <x:v>40</x:v>
      </x:c>
      <x:c r="G471" s="33" t="n">
        <x:v>50</x:v>
      </x:c>
      <x:c r="H471" s="34" t="str">
        <x:v>recurring</x:v>
      </x:c>
      <x:c r="I471" s="33" t="n">
        <x:v>62.5</x:v>
      </x:c>
      <x:c r="J471" s="35" t="str">
        <x:v>Planning allowance; written quote needed</x:v>
      </x:c>
      <x:c r="K471" s="36" t="str">
        <x:v>ALLOW</x:v>
      </x:c>
      <x:c r="L471" s="37" t="n">
        <x:f>ROUND(E471*F471,2)</x:f>
        <x:v>480</x:v>
      </x:c>
      <x:c r="M471" s="37" t="n">
        <x:f>ROUND(E471*G471,2)</x:f>
        <x:v>600</x:v>
      </x:c>
      <x:c r="N471" s="37" t="n">
        <x:f>ROUND(E471*I471,2)</x:f>
        <x:v>750</x:v>
      </x:c>
      <x:c r="O471" s="18" t="str">
        <x:v>Annual commitment where source specifies. Licensing must fit commercial use. Low/high are -20%/+25% rate sensitivity, not observed market range.</x:v>
      </x:c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48" customHeight="1">
      <x:c r="A472" s="1" t="str">
        <x:v>ADD-CC</x:v>
      </x:c>
      <x:c r="B472" s="1" t="str">
        <x:v>Technology</x:v>
      </x:c>
      <x:c r="C472" s="18" t="str">
        <x:v>Adobe Creative Cloud Pro seat01</x:v>
      </x:c>
      <x:c r="D472" s="18" t="str">
        <x:v>month</x:v>
      </x:c>
      <x:c r="E472" s="32" t="n">
        <x:v>12</x:v>
      </x:c>
      <x:c r="F472" s="33" t="n">
        <x:v>69.99</x:v>
      </x:c>
      <x:c r="G472" s="33" t="n">
        <x:v>69.99</x:v>
      </x:c>
      <x:c r="H472" s="34" t="str">
        <x:v>recurring</x:v>
      </x:c>
      <x:c r="I472" s="33" t="n">
        <x:v>69.99</x:v>
      </x:c>
      <x:c r="J472" s="35" t="str">
        <x:v>Published rate × assumed quantity</x:v>
      </x:c>
      <x:c r="K472" s="36" t="str">
        <x:v>ADOBE</x:v>
      </x:c>
      <x:c r="L472" s="37" t="n">
        <x:f>ROUND(E472*F472,2)</x:f>
        <x:v>839.88</x:v>
      </x:c>
      <x:c r="M472" s="37" t="n">
        <x:f>ROUND(E472*G472,2)</x:f>
        <x:v>839.88</x:v>
      </x:c>
      <x:c r="N472" s="37" t="n">
        <x:f>ROUND(E472*I472,2)</x:f>
        <x:v>839.88</x:v>
      </x:c>
      <x:c r="O472" s="18" t="str">
        <x:v>Annual commitment where source specifies. Licensing must fit commercial use.</x:v>
      </x:c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48" customHeight="1">
      <x:c r="A473" s="1" t="str">
        <x:v>ADD-STOCK</x:v>
      </x:c>
      <x:c r="B473" s="1" t="str">
        <x:v>Technology</x:v>
      </x:c>
      <x:c r="C473" s="18" t="str">
        <x:v>Adobe Stock seat01</x:v>
      </x:c>
      <x:c r="D473" s="18" t="str">
        <x:v>month</x:v>
      </x:c>
      <x:c r="E473" s="32" t="n">
        <x:v>12</x:v>
      </x:c>
      <x:c r="F473" s="33" t="n">
        <x:v>29.99</x:v>
      </x:c>
      <x:c r="G473" s="33" t="n">
        <x:v>29.99</x:v>
      </x:c>
      <x:c r="H473" s="34" t="str">
        <x:v>recurring</x:v>
      </x:c>
      <x:c r="I473" s="33" t="n">
        <x:v>29.99</x:v>
      </x:c>
      <x:c r="J473" s="35" t="str">
        <x:v>Published rate × assumed quantity</x:v>
      </x:c>
      <x:c r="K473" s="36" t="str">
        <x:v>STOCK</x:v>
      </x:c>
      <x:c r="L473" s="37" t="n">
        <x:f>ROUND(E473*F473,2)</x:f>
        <x:v>359.88</x:v>
      </x:c>
      <x:c r="M473" s="37" t="n">
        <x:f>ROUND(E473*G473,2)</x:f>
        <x:v>359.88</x:v>
      </x:c>
      <x:c r="N473" s="37" t="n">
        <x:f>ROUND(E473*I473,2)</x:f>
        <x:v>359.88</x:v>
      </x:c>
      <x:c r="O473" s="18" t="str">
        <x:v>Annual commitment where source specifies. Licensing must fit commercial use.</x:v>
      </x:c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48" customHeight="1">
      <x:c r="A474" s="1" t="str">
        <x:v>ADD-MUSIC</x:v>
      </x:c>
      <x:c r="B474" s="1" t="str">
        <x:v>Technology</x:v>
      </x:c>
      <x:c r="C474" s="18" t="str">
        <x:v>Epidemic business license</x:v>
      </x:c>
      <x:c r="D474" s="18" t="str">
        <x:v>month</x:v>
      </x:c>
      <x:c r="E474" s="32" t="n">
        <x:v>12</x:v>
      </x:c>
      <x:c r="F474" s="33" t="n">
        <x:v>30</x:v>
      </x:c>
      <x:c r="G474" s="33" t="n">
        <x:v>30</x:v>
      </x:c>
      <x:c r="H474" s="34" t="str">
        <x:v>recurring</x:v>
      </x:c>
      <x:c r="I474" s="33" t="n">
        <x:v>30</x:v>
      </x:c>
      <x:c r="J474" s="35" t="str">
        <x:v>Published rate × assumed quantity</x:v>
      </x:c>
      <x:c r="K474" s="36" t="str">
        <x:v>MUSIC</x:v>
      </x:c>
      <x:c r="L474" s="37" t="n">
        <x:f>ROUND(E474*F474,2)</x:f>
        <x:v>360</x:v>
      </x:c>
      <x:c r="M474" s="37" t="n">
        <x:f>ROUND(E474*G474,2)</x:f>
        <x:v>360</x:v>
      </x:c>
      <x:c r="N474" s="37" t="n">
        <x:f>ROUND(E474*I474,2)</x:f>
        <x:v>360</x:v>
      </x:c>
      <x:c r="O474" s="18" t="str">
        <x:v>Annual commitment where source specifies. Licensing must fit commercial use.</x:v>
      </x:c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48" customHeight="1">
      <x:c r="A475" s="1" t="str">
        <x:v>ADD-DESCRIPT</x:v>
      </x:c>
      <x:c r="B475" s="1" t="str">
        <x:v>Technology</x:v>
      </x:c>
      <x:c r="C475" s="18" t="str">
        <x:v>Descript Creator seat01</x:v>
      </x:c>
      <x:c r="D475" s="18" t="str">
        <x:v>month</x:v>
      </x:c>
      <x:c r="E475" s="32" t="n">
        <x:v>12</x:v>
      </x:c>
      <x:c r="F475" s="33" t="n">
        <x:v>24</x:v>
      </x:c>
      <x:c r="G475" s="33" t="n">
        <x:v>24</x:v>
      </x:c>
      <x:c r="H475" s="34" t="str">
        <x:v>recurring</x:v>
      </x:c>
      <x:c r="I475" s="33" t="n">
        <x:v>24</x:v>
      </x:c>
      <x:c r="J475" s="35" t="str">
        <x:v>Published rate × assumed quantity</x:v>
      </x:c>
      <x:c r="K475" s="36" t="str">
        <x:v>DESCRIPT</x:v>
      </x:c>
      <x:c r="L475" s="37" t="n">
        <x:f>ROUND(E475*F475,2)</x:f>
        <x:v>288</x:v>
      </x:c>
      <x:c r="M475" s="37" t="n">
        <x:f>ROUND(E475*G475,2)</x:f>
        <x:v>288</x:v>
      </x:c>
      <x:c r="N475" s="37" t="n">
        <x:f>ROUND(E475*I475,2)</x:f>
        <x:v>288</x:v>
      </x:c>
      <x:c r="O475" s="18" t="str">
        <x:v>Annual commitment where source specifies. Licensing must fit commercial use.</x:v>
      </x:c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48" customHeight="1">
      <x:c r="A476" s="1" t="str">
        <x:v>ADD-ZOOM</x:v>
      </x:c>
      <x:c r="B476" s="1" t="str">
        <x:v>Technology</x:v>
      </x:c>
      <x:c r="C476" s="18" t="str">
        <x:v>Zoom Pro seat01</x:v>
      </x:c>
      <x:c r="D476" s="18" t="str">
        <x:v>month</x:v>
      </x:c>
      <x:c r="E476" s="32" t="n">
        <x:v>12</x:v>
      </x:c>
      <x:c r="F476" s="33" t="n">
        <x:v>14.16</x:v>
      </x:c>
      <x:c r="G476" s="33" t="n">
        <x:v>14.16</x:v>
      </x:c>
      <x:c r="H476" s="34" t="str">
        <x:v>recurring</x:v>
      </x:c>
      <x:c r="I476" s="33" t="n">
        <x:v>14.16</x:v>
      </x:c>
      <x:c r="J476" s="35" t="str">
        <x:v>Published rate × assumed quantity</x:v>
      </x:c>
      <x:c r="K476" s="36" t="str">
        <x:v>ZOOM</x:v>
      </x:c>
      <x:c r="L476" s="37" t="n">
        <x:f>ROUND(E476*F476,2)</x:f>
        <x:v>169.92</x:v>
      </x:c>
      <x:c r="M476" s="37" t="n">
        <x:f>ROUND(E476*G476,2)</x:f>
        <x:v>169.92</x:v>
      </x:c>
      <x:c r="N476" s="37" t="n">
        <x:f>ROUND(E476*I476,2)</x:f>
        <x:v>169.92</x:v>
      </x:c>
      <x:c r="O476" s="18" t="str">
        <x:v>Annual commitment where source specifies. Licensing must fit commercial use.</x:v>
      </x:c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48" customHeight="1">
      <x:c r="A477" s="1" t="str">
        <x:v>ADD-PASSWORD</x:v>
      </x:c>
      <x:c r="B477" s="1" t="str">
        <x:v>Technology</x:v>
      </x:c>
      <x:c r="C477" s="18" t="str">
        <x:v>Business password manager 5seats</x:v>
      </x:c>
      <x:c r="D477" s="18" t="str">
        <x:v>seat/device/month</x:v>
      </x:c>
      <x:c r="E477" s="32" t="n">
        <x:v>60</x:v>
      </x:c>
      <x:c r="F477" s="33" t="n">
        <x:v>6.4</x:v>
      </x:c>
      <x:c r="G477" s="33" t="n">
        <x:v>8</x:v>
      </x:c>
      <x:c r="H477" s="34" t="str">
        <x:v>recurring</x:v>
      </x:c>
      <x:c r="I477" s="33" t="n">
        <x:v>10</x:v>
      </x:c>
      <x:c r="J477" s="35" t="str">
        <x:v>Planning allowance; written quote needed</x:v>
      </x:c>
      <x:c r="K477" s="36" t="str">
        <x:v>ALLOW</x:v>
      </x:c>
      <x:c r="L477" s="37" t="n">
        <x:f>ROUND(E477*F477,2)</x:f>
        <x:v>384</x:v>
      </x:c>
      <x:c r="M477" s="37" t="n">
        <x:f>ROUND(E477*G477,2)</x:f>
        <x:v>480</x:v>
      </x:c>
      <x:c r="N477" s="37" t="n">
        <x:f>ROUND(E477*I477,2)</x:f>
        <x:v>600</x:v>
      </x:c>
      <x:c r="O477" s="18" t="str">
        <x:v>Annual commitment where source specifies. Licensing must fit commercial use. Low/high are -20%/+25% rate sensitivity, not observed market range.</x:v>
      </x:c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48" customHeight="1">
      <x:c r="A478" s="1" t="str">
        <x:v>ADD-ENDPOINT</x:v>
      </x:c>
      <x:c r="B478" s="1" t="str">
        <x:v>Technology</x:v>
      </x:c>
      <x:c r="C478" s="18" t="str">
        <x:v>Endpoint protection 5devices</x:v>
      </x:c>
      <x:c r="D478" s="18" t="str">
        <x:v>seat/device/month</x:v>
      </x:c>
      <x:c r="E478" s="32" t="n">
        <x:v>60</x:v>
      </x:c>
      <x:c r="F478" s="33" t="n">
        <x:v>4</x:v>
      </x:c>
      <x:c r="G478" s="33" t="n">
        <x:v>5</x:v>
      </x:c>
      <x:c r="H478" s="34" t="str">
        <x:v>recurring</x:v>
      </x:c>
      <x:c r="I478" s="33" t="n">
        <x:v>6.25</x:v>
      </x:c>
      <x:c r="J478" s="35" t="str">
        <x:v>Planning allowance; written quote needed</x:v>
      </x:c>
      <x:c r="K478" s="36" t="str">
        <x:v>ALLOW</x:v>
      </x:c>
      <x:c r="L478" s="37" t="n">
        <x:f>ROUND(E478*F478,2)</x:f>
        <x:v>240</x:v>
      </x:c>
      <x:c r="M478" s="37" t="n">
        <x:f>ROUND(E478*G478,2)</x:f>
        <x:v>300</x:v>
      </x:c>
      <x:c r="N478" s="37" t="n">
        <x:f>ROUND(E478*I478,2)</x:f>
        <x:v>375</x:v>
      </x:c>
      <x:c r="O478" s="18" t="str">
        <x:v>Annual commitment where source specifies. Licensing must fit commercial use. Low/high are -20%/+25% rate sensitivity, not observed market range.</x:v>
      </x:c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48" customHeight="1">
      <x:c r="A479" s="1" t="str">
        <x:v>STA-01-WAGE</x:v>
      </x:c>
      <x:c r="B479" s="1" t="str">
        <x:v>Staff</x:v>
      </x:c>
      <x:c r="C479" s="18" t="str">
        <x:v>Employee 01 | Director | wages</x:v>
      </x:c>
      <x:c r="D479" s="18" t="str">
        <x:v>paid hour</x:v>
      </x:c>
      <x:c r="E479" s="32" t="n">
        <x:v>2080</x:v>
      </x:c>
      <x:c r="F479" s="33" t="n">
        <x:v>28.05</x:v>
      </x:c>
      <x:c r="G479" s="33" t="n">
        <x:v>29.91</x:v>
      </x:c>
      <x:c r="H479" s="34" t="str">
        <x:v>recurring</x:v>
      </x:c>
      <x:c r="I479" s="33" t="n">
        <x:v>35.891999999999996</x:v>
      </x:c>
      <x:c r="J479" s="35" t="str">
        <x:v>Local 75th percentile wage benchmark</x:v>
      </x:c>
      <x:c r="K479" s="36" t="str">
        <x:v>DIR</x:v>
      </x:c>
      <x:c r="L479" s="37" t="n">
        <x:f>ROUND(E479*F479,2)</x:f>
        <x:v>58344</x:v>
      </x:c>
      <x:c r="M479" s="37" t="n">
        <x:f>ROUND(E479*G479,2)</x:f>
        <x:v>62212.8</x:v>
      </x:c>
      <x:c r="N479" s="37" t="n">
        <x:f>ROUND(E479*I479,2)</x:f>
        <x:v>74655.36</x:v>
      </x:c>
      <x:c r="O479" s="18" t="str">
        <x:v>40h/week max; PTO/training within paid hours. Wage high=20% above base, sensitivity not observed percentile.</x:v>
      </x:c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48" customHeight="1">
      <x:c r="A480" s="1" t="str">
        <x:v>STA-01-SS</x:v>
      </x:c>
      <x:c r="B480" s="1" t="str">
        <x:v>Staff</x:v>
      </x:c>
      <x:c r="C480" s="18" t="str">
        <x:v>Employee 01 | Director | employer Social Security</x:v>
      </x:c>
      <x:c r="D480" s="18" t="str">
        <x:v>employee-year</x:v>
      </x:c>
      <x:c r="E480" s="32" t="n">
        <x:v>1</x:v>
      </x:c>
      <x:c r="F480" s="38" t="n">
        <x:f>ROUND(MIN(L479,184500)*0.062,2)</x:f>
        <x:v>3617.33</x:v>
      </x:c>
      <x:c r="G480" s="38" t="n">
        <x:f>ROUND(MIN(M479,184500)*0.062,2)</x:f>
        <x:v>3857.19</x:v>
      </x:c>
      <x:c r="H480" s="34" t="str">
        <x:v>recurring</x:v>
      </x:c>
      <x:c r="I480" s="38" t="n">
        <x:f>ROUND(MIN(N479,184500)*0.062,2)</x:f>
        <x:v>4628.63</x:v>
      </x:c>
      <x:c r="J480" s="35" t="str">
        <x:v>Published rate × assumed quantity</x:v>
      </x:c>
      <x:c r="K480" s="36" t="str">
        <x:v>IRS</x:v>
      </x:c>
      <x:c r="L480" s="37" t="n">
        <x:f>ROUND(E480*F480,2)</x:f>
        <x:v>3617.33</x:v>
      </x:c>
      <x:c r="M480" s="37" t="n">
        <x:f>ROUND(E480*G480,2)</x:f>
        <x:v>3857.19</x:v>
      </x:c>
      <x:c r="N480" s="37" t="n">
        <x:f>ROUND(E480*I480,2)</x:f>
        <x:v>4628.63</x:v>
      </x:c>
      <x:c r="O480" s="18" t="str">
        <x:v>Rate 6.2000%; cap $184,500. WC 2% and retirement3% allowances.</x:v>
      </x:c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48" customHeight="1">
      <x:c r="A481" s="1" t="str">
        <x:v>STA-01-MED</x:v>
      </x:c>
      <x:c r="B481" s="1" t="str">
        <x:v>Staff</x:v>
      </x:c>
      <x:c r="C481" s="18" t="str">
        <x:v>Employee 01 | Director | employer Medicare</x:v>
      </x:c>
      <x:c r="D481" s="18" t="str">
        <x:v>employee-year</x:v>
      </x:c>
      <x:c r="E481" s="32" t="n">
        <x:v>1</x:v>
      </x:c>
      <x:c r="F481" s="38" t="n">
        <x:f>ROUND(L479*0.0145,2)</x:f>
        <x:v>845.99</x:v>
      </x:c>
      <x:c r="G481" s="38" t="n">
        <x:f>ROUND(M479*0.0145,2)</x:f>
        <x:v>902.09</x:v>
      </x:c>
      <x:c r="H481" s="34" t="str">
        <x:v>recurring</x:v>
      </x:c>
      <x:c r="I481" s="38" t="n">
        <x:f>ROUND(N479*0.0145,2)</x:f>
        <x:v>1082.5</x:v>
      </x:c>
      <x:c r="J481" s="35" t="str">
        <x:v>Published rate × assumed quantity</x:v>
      </x:c>
      <x:c r="K481" s="36" t="str">
        <x:v>IRS</x:v>
      </x:c>
      <x:c r="L481" s="37" t="n">
        <x:f>ROUND(E481*F481,2)</x:f>
        <x:v>845.99</x:v>
      </x:c>
      <x:c r="M481" s="37" t="n">
        <x:f>ROUND(E481*G481,2)</x:f>
        <x:v>902.09</x:v>
      </x:c>
      <x:c r="N481" s="37" t="n">
        <x:f>ROUND(E481*I481,2)</x:f>
        <x:v>1082.5</x:v>
      </x:c>
      <x:c r="O481" s="18" t="str">
        <x:v>Rate 1.4500%; Applied to modeled wages. WC 2% and retirement3% allowances.</x:v>
      </x:c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48" customHeight="1">
      <x:c r="A482" s="1" t="str">
        <x:v>STA-01-FUTA</x:v>
      </x:c>
      <x:c r="B482" s="1" t="str">
        <x:v>Staff</x:v>
      </x:c>
      <x:c r="C482" s="18" t="str">
        <x:v>Employee 01 | Director | employer FUTA</x:v>
      </x:c>
      <x:c r="D482" s="18" t="str">
        <x:v>employee-year</x:v>
      </x:c>
      <x:c r="E482" s="32" t="n">
        <x:v>1</x:v>
      </x:c>
      <x:c r="F482" s="38" t="n">
        <x:f>ROUND(MIN(L479,7000)*0.006,2)</x:f>
        <x:v>42</x:v>
      </x:c>
      <x:c r="G482" s="38" t="n">
        <x:f>ROUND(MIN(M479,7000)*0.006,2)</x:f>
        <x:v>42</x:v>
      </x:c>
      <x:c r="H482" s="34" t="str">
        <x:v>recurring</x:v>
      </x:c>
      <x:c r="I482" s="38" t="n">
        <x:f>ROUND(MIN(N479,7000)*0.006,2)</x:f>
        <x:v>42</x:v>
      </x:c>
      <x:c r="J482" s="35" t="str">
        <x:v>Published rate × assumed quantity</x:v>
      </x:c>
      <x:c r="K482" s="36" t="str">
        <x:v>FUTA</x:v>
      </x:c>
      <x:c r="L482" s="37" t="n">
        <x:f>ROUND(E482*F482,2)</x:f>
        <x:v>42</x:v>
      </x:c>
      <x:c r="M482" s="37" t="n">
        <x:f>ROUND(E482*G482,2)</x:f>
        <x:v>42</x:v>
      </x:c>
      <x:c r="N482" s="37" t="n">
        <x:f>ROUND(E482*I482,2)</x:f>
        <x:v>42</x:v>
      </x:c>
      <x:c r="O482" s="18" t="str">
        <x:v>Rate 0.6000%; cap $7,000. WC 2% and retirement3% allowances.</x:v>
      </x:c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48" customHeight="1">
      <x:c r="A483" s="1" t="str">
        <x:v>STA-01-UI</x:v>
      </x:c>
      <x:c r="B483" s="1" t="str">
        <x:v>Staff</x:v>
      </x:c>
      <x:c r="C483" s="18" t="str">
        <x:v>Employee 01 | Director | employer Missouri unemployment</x:v>
      </x:c>
      <x:c r="D483" s="18" t="str">
        <x:v>employee-year</x:v>
      </x:c>
      <x:c r="E483" s="32" t="n">
        <x:v>1</x:v>
      </x:c>
      <x:c r="F483" s="38" t="n">
        <x:f>ROUND(MIN(L479,9000)*0.02376,2)</x:f>
        <x:v>213.84</x:v>
      </x:c>
      <x:c r="G483" s="38" t="n">
        <x:f>ROUND(MIN(M479,9000)*0.02376,2)</x:f>
        <x:v>213.84</x:v>
      </x:c>
      <x:c r="H483" s="34" t="str">
        <x:v>recurring</x:v>
      </x:c>
      <x:c r="I483" s="38" t="n">
        <x:f>ROUND(MIN(N479,9000)*0.02376,2)</x:f>
        <x:v>213.84</x:v>
      </x:c>
      <x:c r="J483" s="35" t="str">
        <x:v>Published rate × assumed quantity</x:v>
      </x:c>
      <x:c r="K483" s="36" t="str">
        <x:v>MOUI</x:v>
      </x:c>
      <x:c r="L483" s="37" t="n">
        <x:f>ROUND(E483*F483,2)</x:f>
        <x:v>213.84</x:v>
      </x:c>
      <x:c r="M483" s="37" t="n">
        <x:f>ROUND(E483*G483,2)</x:f>
        <x:v>213.84</x:v>
      </x:c>
      <x:c r="N483" s="37" t="n">
        <x:f>ROUND(E483*I483,2)</x:f>
        <x:v>213.84</x:v>
      </x:c>
      <x:c r="O483" s="18" t="str">
        <x:v>Rate 2.3760%; cap $9,000. WC 2% and retirement3% allowances.</x:v>
      </x:c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48" customHeight="1">
      <x:c r="A484" s="1" t="str">
        <x:v>STA-01-WC</x:v>
      </x:c>
      <x:c r="B484" s="1" t="str">
        <x:v>Staff</x:v>
      </x:c>
      <x:c r="C484" s="18" t="str">
        <x:v>Employee 01 | Director | employer workers compensation</x:v>
      </x:c>
      <x:c r="D484" s="18" t="str">
        <x:v>employee-year</x:v>
      </x:c>
      <x:c r="E484" s="32" t="n">
        <x:v>1</x:v>
      </x:c>
      <x:c r="F484" s="38" t="n">
        <x:f>ROUND(L479*0.02,2)</x:f>
        <x:v>1166.88</x:v>
      </x:c>
      <x:c r="G484" s="38" t="n">
        <x:f>ROUND(M479*0.02,2)</x:f>
        <x:v>1244.26</x:v>
      </x:c>
      <x:c r="H484" s="34" t="str">
        <x:v>recurring</x:v>
      </x:c>
      <x:c r="I484" s="38" t="n">
        <x:f>ROUND(N479*0.02,2)</x:f>
        <x:v>1493.11</x:v>
      </x:c>
      <x:c r="J484" s="35" t="str">
        <x:v>Planning allowance; written quote needed</x:v>
      </x:c>
      <x:c r="K484" s="36" t="str">
        <x:v>ALLOW</x:v>
      </x:c>
      <x:c r="L484" s="37" t="n">
        <x:f>ROUND(E484*F484,2)</x:f>
        <x:v>1166.88</x:v>
      </x:c>
      <x:c r="M484" s="37" t="n">
        <x:f>ROUND(E484*G484,2)</x:f>
        <x:v>1244.26</x:v>
      </x:c>
      <x:c r="N484" s="37" t="n">
        <x:f>ROUND(E484*I484,2)</x:f>
        <x:v>1493.11</x:v>
      </x:c>
      <x:c r="O484" s="18" t="str">
        <x:v>Rate 2.0000%; Applied to modeled wages. WC 2% and retirement3% allowances.</x:v>
      </x:c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48" customHeight="1">
      <x:c r="A485" s="1" t="str">
        <x:v>STA-01-RET</x:v>
      </x:c>
      <x:c r="B485" s="1" t="str">
        <x:v>Staff</x:v>
      </x:c>
      <x:c r="C485" s="18" t="str">
        <x:v>Employee 01 | Director | employer retirement match</x:v>
      </x:c>
      <x:c r="D485" s="18" t="str">
        <x:v>employee-year</x:v>
      </x:c>
      <x:c r="E485" s="32" t="n">
        <x:v>1</x:v>
      </x:c>
      <x:c r="F485" s="38" t="n">
        <x:f>ROUND(L479*0.03,2)</x:f>
        <x:v>1750.32</x:v>
      </x:c>
      <x:c r="G485" s="38" t="n">
        <x:f>ROUND(M479*0.03,2)</x:f>
        <x:v>1866.38</x:v>
      </x:c>
      <x:c r="H485" s="34" t="str">
        <x:v>recurring</x:v>
      </x:c>
      <x:c r="I485" s="38" t="n">
        <x:f>ROUND(N479*0.03,2)</x:f>
        <x:v>2239.66</x:v>
      </x:c>
      <x:c r="J485" s="35" t="str">
        <x:v>Planning allowance; written quote needed</x:v>
      </x:c>
      <x:c r="K485" s="36" t="str">
        <x:v>ALLOW</x:v>
      </x:c>
      <x:c r="L485" s="37" t="n">
        <x:f>ROUND(E485*F485,2)</x:f>
        <x:v>1750.32</x:v>
      </x:c>
      <x:c r="M485" s="37" t="n">
        <x:f>ROUND(E485*G485,2)</x:f>
        <x:v>1866.38</x:v>
      </x:c>
      <x:c r="N485" s="37" t="n">
        <x:f>ROUND(E485*I485,2)</x:f>
        <x:v>2239.66</x:v>
      </x:c>
      <x:c r="O485" s="18" t="str">
        <x:v>Rate 3.0000%; Applied to modeled wages. WC 2% and retirement3% allowances.</x:v>
      </x:c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48" customHeight="1">
      <x:c r="A486" s="1" t="str">
        <x:v>STA-01-HEALTH</x:v>
      </x:c>
      <x:c r="B486" s="1" t="str">
        <x:v>Staff</x:v>
      </x:c>
      <x:c r="C486" s="18" t="str">
        <x:v>Employee 01 | Director | health coverage</x:v>
      </x:c>
      <x:c r="D486" s="18" t="str">
        <x:v>employee-year</x:v>
      </x:c>
      <x:c r="E486" s="32" t="n">
        <x:v>1</x:v>
      </x:c>
      <x:c r="F486" s="33" t="n">
        <x:v>7800</x:v>
      </x:c>
      <x:c r="G486" s="33" t="n">
        <x:v>7800</x:v>
      </x:c>
      <x:c r="H486" s="34" t="str">
        <x:v>recurring</x:v>
      </x:c>
      <x:c r="I486" s="33" t="n">
        <x:v>7800</x:v>
      </x:c>
      <x:c r="J486" s="35" t="str">
        <x:v>Planning allowance; written quote needed</x:v>
      </x:c>
      <x:c r="K486" s="36" t="str">
        <x:v>ALLOW</x:v>
      </x:c>
      <x:c r="L486" s="37" t="n">
        <x:f>ROUND(E486*F486,2)</x:f>
        <x:v>7800</x:v>
      </x:c>
      <x:c r="M486" s="37" t="n">
        <x:f>ROUND(E486*G486,2)</x:f>
        <x:v>7800</x:v>
      </x:c>
      <x:c r="N486" s="37" t="n">
        <x:f>ROUND(E486*I486,2)</x:f>
        <x:v>7800</x:v>
      </x:c>
      <x:c r="O486" s="18" t="str">
        <x:v>Employer contribution allowance. Includes part-time seats13/14 voluntarily; insurer/eligibility must confirm.</x:v>
      </x:c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48" customHeight="1">
      <x:c r="A487" s="1" t="str">
        <x:v>STA-01-DENT</x:v>
      </x:c>
      <x:c r="B487" s="1" t="str">
        <x:v>Staff</x:v>
      </x:c>
      <x:c r="C487" s="18" t="str">
        <x:v>Employee 01 | Director | dental</x:v>
      </x:c>
      <x:c r="D487" s="18" t="str">
        <x:v>employee-year</x:v>
      </x:c>
      <x:c r="E487" s="32" t="n">
        <x:v>1</x:v>
      </x:c>
      <x:c r="F487" s="33" t="n">
        <x:v>660</x:v>
      </x:c>
      <x:c r="G487" s="33" t="n">
        <x:v>660</x:v>
      </x:c>
      <x:c r="H487" s="34" t="str">
        <x:v>recurring</x:v>
      </x:c>
      <x:c r="I487" s="33" t="n">
        <x:v>660</x:v>
      </x:c>
      <x:c r="J487" s="35" t="str">
        <x:v>Planning allowance; written quote needed</x:v>
      </x:c>
      <x:c r="K487" s="36" t="str">
        <x:v>ALLOW</x:v>
      </x:c>
      <x:c r="L487" s="37" t="n">
        <x:f>ROUND(E487*F487,2)</x:f>
        <x:v>660</x:v>
      </x:c>
      <x:c r="M487" s="37" t="n">
        <x:f>ROUND(E487*G487,2)</x:f>
        <x:v>660</x:v>
      </x:c>
      <x:c r="N487" s="37" t="n">
        <x:f>ROUND(E487*I487,2)</x:f>
        <x:v>660</x:v>
      </x:c>
      <x:c r="O487" s="18" t="str">
        <x:v>Employer contribution allowance. Includes part-time seats13/14 voluntarily; insurer/eligibility must confirm.</x:v>
      </x:c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48" customHeight="1">
      <x:c r="A488" s="1" t="str">
        <x:v>STA-01-VISION</x:v>
      </x:c>
      <x:c r="B488" s="1" t="str">
        <x:v>Staff</x:v>
      </x:c>
      <x:c r="C488" s="18" t="str">
        <x:v>Employee 01 | Director | vision</x:v>
      </x:c>
      <x:c r="D488" s="18" t="str">
        <x:v>employee-year</x:v>
      </x:c>
      <x:c r="E488" s="32" t="n">
        <x:v>1</x:v>
      </x:c>
      <x:c r="F488" s="33" t="n">
        <x:v>240</x:v>
      </x:c>
      <x:c r="G488" s="33" t="n">
        <x:v>240</x:v>
      </x:c>
      <x:c r="H488" s="34" t="str">
        <x:v>recurring</x:v>
      </x:c>
      <x:c r="I488" s="33" t="n">
        <x:v>240</x:v>
      </x:c>
      <x:c r="J488" s="35" t="str">
        <x:v>Planning allowance; written quote needed</x:v>
      </x:c>
      <x:c r="K488" s="36" t="str">
        <x:v>ALLOW</x:v>
      </x:c>
      <x:c r="L488" s="37" t="n">
        <x:f>ROUND(E488*F488,2)</x:f>
        <x:v>240</x:v>
      </x:c>
      <x:c r="M488" s="37" t="n">
        <x:f>ROUND(E488*G488,2)</x:f>
        <x:v>240</x:v>
      </x:c>
      <x:c r="N488" s="37" t="n">
        <x:f>ROUND(E488*I488,2)</x:f>
        <x:v>240</x:v>
      </x:c>
      <x:c r="O488" s="18" t="str">
        <x:v>Employer contribution allowance. Includes part-time seats13/14 voluntarily; insurer/eligibility must confirm.</x:v>
      </x:c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48" customHeight="1">
      <x:c r="A489" s="1" t="str">
        <x:v>STA-02-WAGE</x:v>
      </x:c>
      <x:c r="B489" s="1" t="str">
        <x:v>Staff</x:v>
      </x:c>
      <x:c r="C489" s="18" t="str">
        <x:v>Employee 02 | Lead teacher 01 | wages</x:v>
      </x:c>
      <x:c r="D489" s="18" t="str">
        <x:v>paid hour</x:v>
      </x:c>
      <x:c r="E489" s="32" t="n">
        <x:v>2080</x:v>
      </x:c>
      <x:c r="F489" s="33" t="n">
        <x:v>17.98</x:v>
      </x:c>
      <x:c r="G489" s="33" t="n">
        <x:v>22.34</x:v>
      </x:c>
      <x:c r="H489" s="34" t="str">
        <x:v>recurring</x:v>
      </x:c>
      <x:c r="I489" s="33" t="n">
        <x:v>26.808</x:v>
      </x:c>
      <x:c r="J489" s="35" t="str">
        <x:v>Local 75th percentile wage benchmark</x:v>
      </x:c>
      <x:c r="K489" s="36" t="str">
        <x:v>TEACH</x:v>
      </x:c>
      <x:c r="L489" s="37" t="n">
        <x:f>ROUND(E489*F489,2)</x:f>
        <x:v>37398.4</x:v>
      </x:c>
      <x:c r="M489" s="37" t="n">
        <x:f>ROUND(E489*G489,2)</x:f>
        <x:v>46467.2</x:v>
      </x:c>
      <x:c r="N489" s="37" t="n">
        <x:f>ROUND(E489*I489,2)</x:f>
        <x:v>55760.64</x:v>
      </x:c>
      <x:c r="O489" s="18" t="str">
        <x:v>40h/week max; PTO/training within paid hours. Wage high=20% above base, sensitivity not observed percentile.</x:v>
      </x:c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48" customHeight="1">
      <x:c r="A490" s="1" t="str">
        <x:v>STA-02-SS</x:v>
      </x:c>
      <x:c r="B490" s="1" t="str">
        <x:v>Staff</x:v>
      </x:c>
      <x:c r="C490" s="18" t="str">
        <x:v>Employee 02 | Lead teacher 01 | employer Social Security</x:v>
      </x:c>
      <x:c r="D490" s="18" t="str">
        <x:v>employee-year</x:v>
      </x:c>
      <x:c r="E490" s="32" t="n">
        <x:v>1</x:v>
      </x:c>
      <x:c r="F490" s="38" t="n">
        <x:f>ROUND(MIN(L489,184500)*0.062,2)</x:f>
        <x:v>2318.7</x:v>
      </x:c>
      <x:c r="G490" s="38" t="n">
        <x:f>ROUND(MIN(M489,184500)*0.062,2)</x:f>
        <x:v>2880.97</x:v>
      </x:c>
      <x:c r="H490" s="34" t="str">
        <x:v>recurring</x:v>
      </x:c>
      <x:c r="I490" s="38" t="n">
        <x:f>ROUND(MIN(N489,184500)*0.062,2)</x:f>
        <x:v>3457.16</x:v>
      </x:c>
      <x:c r="J490" s="35" t="str">
        <x:v>Published rate × assumed quantity</x:v>
      </x:c>
      <x:c r="K490" s="36" t="str">
        <x:v>IRS</x:v>
      </x:c>
      <x:c r="L490" s="37" t="n">
        <x:f>ROUND(E490*F490,2)</x:f>
        <x:v>2318.7</x:v>
      </x:c>
      <x:c r="M490" s="37" t="n">
        <x:f>ROUND(E490*G490,2)</x:f>
        <x:v>2880.97</x:v>
      </x:c>
      <x:c r="N490" s="37" t="n">
        <x:f>ROUND(E490*I490,2)</x:f>
        <x:v>3457.16</x:v>
      </x:c>
      <x:c r="O490" s="18" t="str">
        <x:v>Rate 6.2000%; cap $184,500. WC 2% and retirement3% allowances.</x:v>
      </x:c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48" customHeight="1">
      <x:c r="A491" s="1" t="str">
        <x:v>STA-02-MED</x:v>
      </x:c>
      <x:c r="B491" s="1" t="str">
        <x:v>Staff</x:v>
      </x:c>
      <x:c r="C491" s="18" t="str">
        <x:v>Employee 02 | Lead teacher 01 | employer Medicare</x:v>
      </x:c>
      <x:c r="D491" s="18" t="str">
        <x:v>employee-year</x:v>
      </x:c>
      <x:c r="E491" s="32" t="n">
        <x:v>1</x:v>
      </x:c>
      <x:c r="F491" s="38" t="n">
        <x:f>ROUND(L489*0.0145,2)</x:f>
        <x:v>542.28</x:v>
      </x:c>
      <x:c r="G491" s="38" t="n">
        <x:f>ROUND(M489*0.0145,2)</x:f>
        <x:v>673.77</x:v>
      </x:c>
      <x:c r="H491" s="34" t="str">
        <x:v>recurring</x:v>
      </x:c>
      <x:c r="I491" s="38" t="n">
        <x:f>ROUND(N489*0.0145,2)</x:f>
        <x:v>808.53</x:v>
      </x:c>
      <x:c r="J491" s="35" t="str">
        <x:v>Published rate × assumed quantity</x:v>
      </x:c>
      <x:c r="K491" s="36" t="str">
        <x:v>IRS</x:v>
      </x:c>
      <x:c r="L491" s="37" t="n">
        <x:f>ROUND(E491*F491,2)</x:f>
        <x:v>542.28</x:v>
      </x:c>
      <x:c r="M491" s="37" t="n">
        <x:f>ROUND(E491*G491,2)</x:f>
        <x:v>673.77</x:v>
      </x:c>
      <x:c r="N491" s="37" t="n">
        <x:f>ROUND(E491*I491,2)</x:f>
        <x:v>808.53</x:v>
      </x:c>
      <x:c r="O491" s="18" t="str">
        <x:v>Rate 1.4500%; Applied to modeled wages. WC 2% and retirement3% allowances.</x:v>
      </x:c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48" customHeight="1">
      <x:c r="A492" s="1" t="str">
        <x:v>STA-02-FUTA</x:v>
      </x:c>
      <x:c r="B492" s="1" t="str">
        <x:v>Staff</x:v>
      </x:c>
      <x:c r="C492" s="18" t="str">
        <x:v>Employee 02 | Lead teacher 01 | employer FUTA</x:v>
      </x:c>
      <x:c r="D492" s="18" t="str">
        <x:v>employee-year</x:v>
      </x:c>
      <x:c r="E492" s="32" t="n">
        <x:v>1</x:v>
      </x:c>
      <x:c r="F492" s="38" t="n">
        <x:f>ROUND(MIN(L489,7000)*0.006,2)</x:f>
        <x:v>42</x:v>
      </x:c>
      <x:c r="G492" s="38" t="n">
        <x:f>ROUND(MIN(M489,7000)*0.006,2)</x:f>
        <x:v>42</x:v>
      </x:c>
      <x:c r="H492" s="34" t="str">
        <x:v>recurring</x:v>
      </x:c>
      <x:c r="I492" s="38" t="n">
        <x:f>ROUND(MIN(N489,7000)*0.006,2)</x:f>
        <x:v>42</x:v>
      </x:c>
      <x:c r="J492" s="35" t="str">
        <x:v>Published rate × assumed quantity</x:v>
      </x:c>
      <x:c r="K492" s="36" t="str">
        <x:v>FUTA</x:v>
      </x:c>
      <x:c r="L492" s="37" t="n">
        <x:f>ROUND(E492*F492,2)</x:f>
        <x:v>42</x:v>
      </x:c>
      <x:c r="M492" s="37" t="n">
        <x:f>ROUND(E492*G492,2)</x:f>
        <x:v>42</x:v>
      </x:c>
      <x:c r="N492" s="37" t="n">
        <x:f>ROUND(E492*I492,2)</x:f>
        <x:v>42</x:v>
      </x:c>
      <x:c r="O492" s="18" t="str">
        <x:v>Rate 0.6000%; cap $7,000. WC 2% and retirement3% allowances.</x:v>
      </x:c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48" customHeight="1">
      <x:c r="A493" s="1" t="str">
        <x:v>STA-02-UI</x:v>
      </x:c>
      <x:c r="B493" s="1" t="str">
        <x:v>Staff</x:v>
      </x:c>
      <x:c r="C493" s="18" t="str">
        <x:v>Employee 02 | Lead teacher 01 | employer Missouri unemployment</x:v>
      </x:c>
      <x:c r="D493" s="18" t="str">
        <x:v>employee-year</x:v>
      </x:c>
      <x:c r="E493" s="32" t="n">
        <x:v>1</x:v>
      </x:c>
      <x:c r="F493" s="38" t="n">
        <x:f>ROUND(MIN(L489,9000)*0.02376,2)</x:f>
        <x:v>213.84</x:v>
      </x:c>
      <x:c r="G493" s="38" t="n">
        <x:f>ROUND(MIN(M489,9000)*0.02376,2)</x:f>
        <x:v>213.84</x:v>
      </x:c>
      <x:c r="H493" s="34" t="str">
        <x:v>recurring</x:v>
      </x:c>
      <x:c r="I493" s="38" t="n">
        <x:f>ROUND(MIN(N489,9000)*0.02376,2)</x:f>
        <x:v>213.84</x:v>
      </x:c>
      <x:c r="J493" s="35" t="str">
        <x:v>Published rate × assumed quantity</x:v>
      </x:c>
      <x:c r="K493" s="36" t="str">
        <x:v>MOUI</x:v>
      </x:c>
      <x:c r="L493" s="37" t="n">
        <x:f>ROUND(E493*F493,2)</x:f>
        <x:v>213.84</x:v>
      </x:c>
      <x:c r="M493" s="37" t="n">
        <x:f>ROUND(E493*G493,2)</x:f>
        <x:v>213.84</x:v>
      </x:c>
      <x:c r="N493" s="37" t="n">
        <x:f>ROUND(E493*I493,2)</x:f>
        <x:v>213.84</x:v>
      </x:c>
      <x:c r="O493" s="18" t="str">
        <x:v>Rate 2.3760%; cap $9,000. WC 2% and retirement3% allowances.</x:v>
      </x:c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48" customHeight="1">
      <x:c r="A494" s="1" t="str">
        <x:v>STA-02-WC</x:v>
      </x:c>
      <x:c r="B494" s="1" t="str">
        <x:v>Staff</x:v>
      </x:c>
      <x:c r="C494" s="18" t="str">
        <x:v>Employee 02 | Lead teacher 01 | employer workers compensation</x:v>
      </x:c>
      <x:c r="D494" s="18" t="str">
        <x:v>employee-year</x:v>
      </x:c>
      <x:c r="E494" s="32" t="n">
        <x:v>1</x:v>
      </x:c>
      <x:c r="F494" s="38" t="n">
        <x:f>ROUND(L489*0.02,2)</x:f>
        <x:v>747.97</x:v>
      </x:c>
      <x:c r="G494" s="38" t="n">
        <x:f>ROUND(M489*0.02,2)</x:f>
        <x:v>929.34</x:v>
      </x:c>
      <x:c r="H494" s="34" t="str">
        <x:v>recurring</x:v>
      </x:c>
      <x:c r="I494" s="38" t="n">
        <x:f>ROUND(N489*0.02,2)</x:f>
        <x:v>1115.21</x:v>
      </x:c>
      <x:c r="J494" s="35" t="str">
        <x:v>Planning allowance; written quote needed</x:v>
      </x:c>
      <x:c r="K494" s="36" t="str">
        <x:v>ALLOW</x:v>
      </x:c>
      <x:c r="L494" s="37" t="n">
        <x:f>ROUND(E494*F494,2)</x:f>
        <x:v>747.97</x:v>
      </x:c>
      <x:c r="M494" s="37" t="n">
        <x:f>ROUND(E494*G494,2)</x:f>
        <x:v>929.34</x:v>
      </x:c>
      <x:c r="N494" s="37" t="n">
        <x:f>ROUND(E494*I494,2)</x:f>
        <x:v>1115.21</x:v>
      </x:c>
      <x:c r="O494" s="18" t="str">
        <x:v>Rate 2.0000%; Applied to modeled wages. WC 2% and retirement3% allowances.</x:v>
      </x:c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48" customHeight="1">
      <x:c r="A495" s="1" t="str">
        <x:v>STA-02-RET</x:v>
      </x:c>
      <x:c r="B495" s="1" t="str">
        <x:v>Staff</x:v>
      </x:c>
      <x:c r="C495" s="18" t="str">
        <x:v>Employee 02 | Lead teacher 01 | employer retirement match</x:v>
      </x:c>
      <x:c r="D495" s="18" t="str">
        <x:v>employee-year</x:v>
      </x:c>
      <x:c r="E495" s="32" t="n">
        <x:v>1</x:v>
      </x:c>
      <x:c r="F495" s="38" t="n">
        <x:f>ROUND(L489*0.03,2)</x:f>
        <x:v>1121.95</x:v>
      </x:c>
      <x:c r="G495" s="38" t="n">
        <x:f>ROUND(M489*0.03,2)</x:f>
        <x:v>1394.02</x:v>
      </x:c>
      <x:c r="H495" s="34" t="str">
        <x:v>recurring</x:v>
      </x:c>
      <x:c r="I495" s="38" t="n">
        <x:f>ROUND(N489*0.03,2)</x:f>
        <x:v>1672.82</x:v>
      </x:c>
      <x:c r="J495" s="35" t="str">
        <x:v>Planning allowance; written quote needed</x:v>
      </x:c>
      <x:c r="K495" s="36" t="str">
        <x:v>ALLOW</x:v>
      </x:c>
      <x:c r="L495" s="37" t="n">
        <x:f>ROUND(E495*F495,2)</x:f>
        <x:v>1121.95</x:v>
      </x:c>
      <x:c r="M495" s="37" t="n">
        <x:f>ROUND(E495*G495,2)</x:f>
        <x:v>1394.02</x:v>
      </x:c>
      <x:c r="N495" s="37" t="n">
        <x:f>ROUND(E495*I495,2)</x:f>
        <x:v>1672.82</x:v>
      </x:c>
      <x:c r="O495" s="18" t="str">
        <x:v>Rate 3.0000%; Applied to modeled wages. WC 2% and retirement3% allowances.</x:v>
      </x:c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48" customHeight="1">
      <x:c r="A496" s="1" t="str">
        <x:v>STA-02-HEALTH</x:v>
      </x:c>
      <x:c r="B496" s="1" t="str">
        <x:v>Staff</x:v>
      </x:c>
      <x:c r="C496" s="18" t="str">
        <x:v>Employee 02 | Lead teacher 01 | health coverage</x:v>
      </x:c>
      <x:c r="D496" s="18" t="str">
        <x:v>employee-year</x:v>
      </x:c>
      <x:c r="E496" s="32" t="n">
        <x:v>1</x:v>
      </x:c>
      <x:c r="F496" s="33" t="n">
        <x:v>7800</x:v>
      </x:c>
      <x:c r="G496" s="33" t="n">
        <x:v>7800</x:v>
      </x:c>
      <x:c r="H496" s="34" t="str">
        <x:v>recurring</x:v>
      </x:c>
      <x:c r="I496" s="33" t="n">
        <x:v>7800</x:v>
      </x:c>
      <x:c r="J496" s="35" t="str">
        <x:v>Planning allowance; written quote needed</x:v>
      </x:c>
      <x:c r="K496" s="36" t="str">
        <x:v>ALLOW</x:v>
      </x:c>
      <x:c r="L496" s="37" t="n">
        <x:f>ROUND(E496*F496,2)</x:f>
        <x:v>7800</x:v>
      </x:c>
      <x:c r="M496" s="37" t="n">
        <x:f>ROUND(E496*G496,2)</x:f>
        <x:v>7800</x:v>
      </x:c>
      <x:c r="N496" s="37" t="n">
        <x:f>ROUND(E496*I496,2)</x:f>
        <x:v>7800</x:v>
      </x:c>
      <x:c r="O496" s="18" t="str">
        <x:v>Employer contribution allowance. Includes part-time seats13/14 voluntarily; insurer/eligibility must confirm.</x:v>
      </x:c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48" customHeight="1">
      <x:c r="A497" s="1" t="str">
        <x:v>STA-02-DENT</x:v>
      </x:c>
      <x:c r="B497" s="1" t="str">
        <x:v>Staff</x:v>
      </x:c>
      <x:c r="C497" s="18" t="str">
        <x:v>Employee 02 | Lead teacher 01 | dental</x:v>
      </x:c>
      <x:c r="D497" s="18" t="str">
        <x:v>employee-year</x:v>
      </x:c>
      <x:c r="E497" s="32" t="n">
        <x:v>1</x:v>
      </x:c>
      <x:c r="F497" s="33" t="n">
        <x:v>660</x:v>
      </x:c>
      <x:c r="G497" s="33" t="n">
        <x:v>660</x:v>
      </x:c>
      <x:c r="H497" s="34" t="str">
        <x:v>recurring</x:v>
      </x:c>
      <x:c r="I497" s="33" t="n">
        <x:v>660</x:v>
      </x:c>
      <x:c r="J497" s="35" t="str">
        <x:v>Planning allowance; written quote needed</x:v>
      </x:c>
      <x:c r="K497" s="36" t="str">
        <x:v>ALLOW</x:v>
      </x:c>
      <x:c r="L497" s="37" t="n">
        <x:f>ROUND(E497*F497,2)</x:f>
        <x:v>660</x:v>
      </x:c>
      <x:c r="M497" s="37" t="n">
        <x:f>ROUND(E497*G497,2)</x:f>
        <x:v>660</x:v>
      </x:c>
      <x:c r="N497" s="37" t="n">
        <x:f>ROUND(E497*I497,2)</x:f>
        <x:v>660</x:v>
      </x:c>
      <x:c r="O497" s="18" t="str">
        <x:v>Employer contribution allowance. Includes part-time seats13/14 voluntarily; insurer/eligibility must confirm.</x:v>
      </x:c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48" customHeight="1">
      <x:c r="A498" s="1" t="str">
        <x:v>STA-02-VISION</x:v>
      </x:c>
      <x:c r="B498" s="1" t="str">
        <x:v>Staff</x:v>
      </x:c>
      <x:c r="C498" s="18" t="str">
        <x:v>Employee 02 | Lead teacher 01 | vision</x:v>
      </x:c>
      <x:c r="D498" s="18" t="str">
        <x:v>employee-year</x:v>
      </x:c>
      <x:c r="E498" s="32" t="n">
        <x:v>1</x:v>
      </x:c>
      <x:c r="F498" s="33" t="n">
        <x:v>240</x:v>
      </x:c>
      <x:c r="G498" s="33" t="n">
        <x:v>240</x:v>
      </x:c>
      <x:c r="H498" s="34" t="str">
        <x:v>recurring</x:v>
      </x:c>
      <x:c r="I498" s="33" t="n">
        <x:v>240</x:v>
      </x:c>
      <x:c r="J498" s="35" t="str">
        <x:v>Planning allowance; written quote needed</x:v>
      </x:c>
      <x:c r="K498" s="36" t="str">
        <x:v>ALLOW</x:v>
      </x:c>
      <x:c r="L498" s="37" t="n">
        <x:f>ROUND(E498*F498,2)</x:f>
        <x:v>240</x:v>
      </x:c>
      <x:c r="M498" s="37" t="n">
        <x:f>ROUND(E498*G498,2)</x:f>
        <x:v>240</x:v>
      </x:c>
      <x:c r="N498" s="37" t="n">
        <x:f>ROUND(E498*I498,2)</x:f>
        <x:v>240</x:v>
      </x:c>
      <x:c r="O498" s="18" t="str">
        <x:v>Employer contribution allowance. Includes part-time seats13/14 voluntarily; insurer/eligibility must confirm.</x:v>
      </x:c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48" customHeight="1">
      <x:c r="A499" s="1" t="str">
        <x:v>STA-03-WAGE</x:v>
      </x:c>
      <x:c r="B499" s="1" t="str">
        <x:v>Staff</x:v>
      </x:c>
      <x:c r="C499" s="18" t="str">
        <x:v>Employee 03 | Lead teacher 02 | wages</x:v>
      </x:c>
      <x:c r="D499" s="18" t="str">
        <x:v>paid hour</x:v>
      </x:c>
      <x:c r="E499" s="32" t="n">
        <x:v>2080</x:v>
      </x:c>
      <x:c r="F499" s="33" t="n">
        <x:v>17.98</x:v>
      </x:c>
      <x:c r="G499" s="33" t="n">
        <x:v>22.34</x:v>
      </x:c>
      <x:c r="H499" s="34" t="str">
        <x:v>recurring</x:v>
      </x:c>
      <x:c r="I499" s="33" t="n">
        <x:v>26.808</x:v>
      </x:c>
      <x:c r="J499" s="35" t="str">
        <x:v>Local 75th percentile wage benchmark</x:v>
      </x:c>
      <x:c r="K499" s="36" t="str">
        <x:v>TEACH</x:v>
      </x:c>
      <x:c r="L499" s="37" t="n">
        <x:f>ROUND(E499*F499,2)</x:f>
        <x:v>37398.4</x:v>
      </x:c>
      <x:c r="M499" s="37" t="n">
        <x:f>ROUND(E499*G499,2)</x:f>
        <x:v>46467.2</x:v>
      </x:c>
      <x:c r="N499" s="37" t="n">
        <x:f>ROUND(E499*I499,2)</x:f>
        <x:v>55760.64</x:v>
      </x:c>
      <x:c r="O499" s="18" t="str">
        <x:v>40h/week max; PTO/training within paid hours. Wage high=20% above base, sensitivity not observed percentile.</x:v>
      </x:c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48" customHeight="1">
      <x:c r="A500" s="1" t="str">
        <x:v>STA-03-SS</x:v>
      </x:c>
      <x:c r="B500" s="1" t="str">
        <x:v>Staff</x:v>
      </x:c>
      <x:c r="C500" s="18" t="str">
        <x:v>Employee 03 | Lead teacher 02 | employer Social Security</x:v>
      </x:c>
      <x:c r="D500" s="18" t="str">
        <x:v>employee-year</x:v>
      </x:c>
      <x:c r="E500" s="32" t="n">
        <x:v>1</x:v>
      </x:c>
      <x:c r="F500" s="38" t="n">
        <x:f>ROUND(MIN(L499,184500)*0.062,2)</x:f>
        <x:v>2318.7</x:v>
      </x:c>
      <x:c r="G500" s="38" t="n">
        <x:f>ROUND(MIN(M499,184500)*0.062,2)</x:f>
        <x:v>2880.97</x:v>
      </x:c>
      <x:c r="H500" s="34" t="str">
        <x:v>recurring</x:v>
      </x:c>
      <x:c r="I500" s="38" t="n">
        <x:f>ROUND(MIN(N499,184500)*0.062,2)</x:f>
        <x:v>3457.16</x:v>
      </x:c>
      <x:c r="J500" s="35" t="str">
        <x:v>Published rate × assumed quantity</x:v>
      </x:c>
      <x:c r="K500" s="36" t="str">
        <x:v>IRS</x:v>
      </x:c>
      <x:c r="L500" s="37" t="n">
        <x:f>ROUND(E500*F500,2)</x:f>
        <x:v>2318.7</x:v>
      </x:c>
      <x:c r="M500" s="37" t="n">
        <x:f>ROUND(E500*G500,2)</x:f>
        <x:v>2880.97</x:v>
      </x:c>
      <x:c r="N500" s="37" t="n">
        <x:f>ROUND(E500*I500,2)</x:f>
        <x:v>3457.16</x:v>
      </x:c>
      <x:c r="O500" s="18" t="str">
        <x:v>Rate 6.2000%; cap $184,500. WC 2% and retirement3% allowances.</x:v>
      </x:c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48" customHeight="1">
      <x:c r="A501" s="1" t="str">
        <x:v>STA-03-MED</x:v>
      </x:c>
      <x:c r="B501" s="1" t="str">
        <x:v>Staff</x:v>
      </x:c>
      <x:c r="C501" s="18" t="str">
        <x:v>Employee 03 | Lead teacher 02 | employer Medicare</x:v>
      </x:c>
      <x:c r="D501" s="18" t="str">
        <x:v>employee-year</x:v>
      </x:c>
      <x:c r="E501" s="32" t="n">
        <x:v>1</x:v>
      </x:c>
      <x:c r="F501" s="38" t="n">
        <x:f>ROUND(L499*0.0145,2)</x:f>
        <x:v>542.28</x:v>
      </x:c>
      <x:c r="G501" s="38" t="n">
        <x:f>ROUND(M499*0.0145,2)</x:f>
        <x:v>673.77</x:v>
      </x:c>
      <x:c r="H501" s="34" t="str">
        <x:v>recurring</x:v>
      </x:c>
      <x:c r="I501" s="38" t="n">
        <x:f>ROUND(N499*0.0145,2)</x:f>
        <x:v>808.53</x:v>
      </x:c>
      <x:c r="J501" s="35" t="str">
        <x:v>Published rate × assumed quantity</x:v>
      </x:c>
      <x:c r="K501" s="36" t="str">
        <x:v>IRS</x:v>
      </x:c>
      <x:c r="L501" s="37" t="n">
        <x:f>ROUND(E501*F501,2)</x:f>
        <x:v>542.28</x:v>
      </x:c>
      <x:c r="M501" s="37" t="n">
        <x:f>ROUND(E501*G501,2)</x:f>
        <x:v>673.77</x:v>
      </x:c>
      <x:c r="N501" s="37" t="n">
        <x:f>ROUND(E501*I501,2)</x:f>
        <x:v>808.53</x:v>
      </x:c>
      <x:c r="O501" s="18" t="str">
        <x:v>Rate 1.4500%; Applied to modeled wages. WC 2% and retirement3% allowances.</x:v>
      </x:c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48" customHeight="1">
      <x:c r="A502" s="1" t="str">
        <x:v>STA-03-FUTA</x:v>
      </x:c>
      <x:c r="B502" s="1" t="str">
        <x:v>Staff</x:v>
      </x:c>
      <x:c r="C502" s="18" t="str">
        <x:v>Employee 03 | Lead teacher 02 | employer FUTA</x:v>
      </x:c>
      <x:c r="D502" s="18" t="str">
        <x:v>employee-year</x:v>
      </x:c>
      <x:c r="E502" s="32" t="n">
        <x:v>1</x:v>
      </x:c>
      <x:c r="F502" s="38" t="n">
        <x:f>ROUND(MIN(L499,7000)*0.006,2)</x:f>
        <x:v>42</x:v>
      </x:c>
      <x:c r="G502" s="38" t="n">
        <x:f>ROUND(MIN(M499,7000)*0.006,2)</x:f>
        <x:v>42</x:v>
      </x:c>
      <x:c r="H502" s="34" t="str">
        <x:v>recurring</x:v>
      </x:c>
      <x:c r="I502" s="38" t="n">
        <x:f>ROUND(MIN(N499,7000)*0.006,2)</x:f>
        <x:v>42</x:v>
      </x:c>
      <x:c r="J502" s="35" t="str">
        <x:v>Published rate × assumed quantity</x:v>
      </x:c>
      <x:c r="K502" s="36" t="str">
        <x:v>FUTA</x:v>
      </x:c>
      <x:c r="L502" s="37" t="n">
        <x:f>ROUND(E502*F502,2)</x:f>
        <x:v>42</x:v>
      </x:c>
      <x:c r="M502" s="37" t="n">
        <x:f>ROUND(E502*G502,2)</x:f>
        <x:v>42</x:v>
      </x:c>
      <x:c r="N502" s="37" t="n">
        <x:f>ROUND(E502*I502,2)</x:f>
        <x:v>42</x:v>
      </x:c>
      <x:c r="O502" s="18" t="str">
        <x:v>Rate 0.6000%; cap $7,000. WC 2% and retirement3% allowances.</x:v>
      </x:c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48" customHeight="1">
      <x:c r="A503" s="1" t="str">
        <x:v>STA-03-UI</x:v>
      </x:c>
      <x:c r="B503" s="1" t="str">
        <x:v>Staff</x:v>
      </x:c>
      <x:c r="C503" s="18" t="str">
        <x:v>Employee 03 | Lead teacher 02 | employer Missouri unemployment</x:v>
      </x:c>
      <x:c r="D503" s="18" t="str">
        <x:v>employee-year</x:v>
      </x:c>
      <x:c r="E503" s="32" t="n">
        <x:v>1</x:v>
      </x:c>
      <x:c r="F503" s="38" t="n">
        <x:f>ROUND(MIN(L499,9000)*0.02376,2)</x:f>
        <x:v>213.84</x:v>
      </x:c>
      <x:c r="G503" s="38" t="n">
        <x:f>ROUND(MIN(M499,9000)*0.02376,2)</x:f>
        <x:v>213.84</x:v>
      </x:c>
      <x:c r="H503" s="34" t="str">
        <x:v>recurring</x:v>
      </x:c>
      <x:c r="I503" s="38" t="n">
        <x:f>ROUND(MIN(N499,9000)*0.02376,2)</x:f>
        <x:v>213.84</x:v>
      </x:c>
      <x:c r="J503" s="35" t="str">
        <x:v>Published rate × assumed quantity</x:v>
      </x:c>
      <x:c r="K503" s="36" t="str">
        <x:v>MOUI</x:v>
      </x:c>
      <x:c r="L503" s="37" t="n">
        <x:f>ROUND(E503*F503,2)</x:f>
        <x:v>213.84</x:v>
      </x:c>
      <x:c r="M503" s="37" t="n">
        <x:f>ROUND(E503*G503,2)</x:f>
        <x:v>213.84</x:v>
      </x:c>
      <x:c r="N503" s="37" t="n">
        <x:f>ROUND(E503*I503,2)</x:f>
        <x:v>213.84</x:v>
      </x:c>
      <x:c r="O503" s="18" t="str">
        <x:v>Rate 2.3760%; cap $9,000. WC 2% and retirement3% allowances.</x:v>
      </x:c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48" customHeight="1">
      <x:c r="A504" s="1" t="str">
        <x:v>STA-03-WC</x:v>
      </x:c>
      <x:c r="B504" s="1" t="str">
        <x:v>Staff</x:v>
      </x:c>
      <x:c r="C504" s="18" t="str">
        <x:v>Employee 03 | Lead teacher 02 | employer workers compensation</x:v>
      </x:c>
      <x:c r="D504" s="18" t="str">
        <x:v>employee-year</x:v>
      </x:c>
      <x:c r="E504" s="32" t="n">
        <x:v>1</x:v>
      </x:c>
      <x:c r="F504" s="38" t="n">
        <x:f>ROUND(L499*0.02,2)</x:f>
        <x:v>747.97</x:v>
      </x:c>
      <x:c r="G504" s="38" t="n">
        <x:f>ROUND(M499*0.02,2)</x:f>
        <x:v>929.34</x:v>
      </x:c>
      <x:c r="H504" s="34" t="str">
        <x:v>recurring</x:v>
      </x:c>
      <x:c r="I504" s="38" t="n">
        <x:f>ROUND(N499*0.02,2)</x:f>
        <x:v>1115.21</x:v>
      </x:c>
      <x:c r="J504" s="35" t="str">
        <x:v>Planning allowance; written quote needed</x:v>
      </x:c>
      <x:c r="K504" s="36" t="str">
        <x:v>ALLOW</x:v>
      </x:c>
      <x:c r="L504" s="37" t="n">
        <x:f>ROUND(E504*F504,2)</x:f>
        <x:v>747.97</x:v>
      </x:c>
      <x:c r="M504" s="37" t="n">
        <x:f>ROUND(E504*G504,2)</x:f>
        <x:v>929.34</x:v>
      </x:c>
      <x:c r="N504" s="37" t="n">
        <x:f>ROUND(E504*I504,2)</x:f>
        <x:v>1115.21</x:v>
      </x:c>
      <x:c r="O504" s="18" t="str">
        <x:v>Rate 2.0000%; Applied to modeled wages. WC 2% and retirement3% allowances.</x:v>
      </x:c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48" customHeight="1">
      <x:c r="A505" s="1" t="str">
        <x:v>STA-03-RET</x:v>
      </x:c>
      <x:c r="B505" s="1" t="str">
        <x:v>Staff</x:v>
      </x:c>
      <x:c r="C505" s="18" t="str">
        <x:v>Employee 03 | Lead teacher 02 | employer retirement match</x:v>
      </x:c>
      <x:c r="D505" s="18" t="str">
        <x:v>employee-year</x:v>
      </x:c>
      <x:c r="E505" s="32" t="n">
        <x:v>1</x:v>
      </x:c>
      <x:c r="F505" s="38" t="n">
        <x:f>ROUND(L499*0.03,2)</x:f>
        <x:v>1121.95</x:v>
      </x:c>
      <x:c r="G505" s="38" t="n">
        <x:f>ROUND(M499*0.03,2)</x:f>
        <x:v>1394.02</x:v>
      </x:c>
      <x:c r="H505" s="34" t="str">
        <x:v>recurring</x:v>
      </x:c>
      <x:c r="I505" s="38" t="n">
        <x:f>ROUND(N499*0.03,2)</x:f>
        <x:v>1672.82</x:v>
      </x:c>
      <x:c r="J505" s="35" t="str">
        <x:v>Planning allowance; written quote needed</x:v>
      </x:c>
      <x:c r="K505" s="36" t="str">
        <x:v>ALLOW</x:v>
      </x:c>
      <x:c r="L505" s="37" t="n">
        <x:f>ROUND(E505*F505,2)</x:f>
        <x:v>1121.95</x:v>
      </x:c>
      <x:c r="M505" s="37" t="n">
        <x:f>ROUND(E505*G505,2)</x:f>
        <x:v>1394.02</x:v>
      </x:c>
      <x:c r="N505" s="37" t="n">
        <x:f>ROUND(E505*I505,2)</x:f>
        <x:v>1672.82</x:v>
      </x:c>
      <x:c r="O505" s="18" t="str">
        <x:v>Rate 3.0000%; Applied to modeled wages. WC 2% and retirement3% allowances.</x:v>
      </x:c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48" customHeight="1">
      <x:c r="A506" s="1" t="str">
        <x:v>STA-03-HEALTH</x:v>
      </x:c>
      <x:c r="B506" s="1" t="str">
        <x:v>Staff</x:v>
      </x:c>
      <x:c r="C506" s="18" t="str">
        <x:v>Employee 03 | Lead teacher 02 | health coverage</x:v>
      </x:c>
      <x:c r="D506" s="18" t="str">
        <x:v>employee-year</x:v>
      </x:c>
      <x:c r="E506" s="32" t="n">
        <x:v>1</x:v>
      </x:c>
      <x:c r="F506" s="33" t="n">
        <x:v>7800</x:v>
      </x:c>
      <x:c r="G506" s="33" t="n">
        <x:v>7800</x:v>
      </x:c>
      <x:c r="H506" s="34" t="str">
        <x:v>recurring</x:v>
      </x:c>
      <x:c r="I506" s="33" t="n">
        <x:v>7800</x:v>
      </x:c>
      <x:c r="J506" s="35" t="str">
        <x:v>Planning allowance; written quote needed</x:v>
      </x:c>
      <x:c r="K506" s="36" t="str">
        <x:v>ALLOW</x:v>
      </x:c>
      <x:c r="L506" s="37" t="n">
        <x:f>ROUND(E506*F506,2)</x:f>
        <x:v>7800</x:v>
      </x:c>
      <x:c r="M506" s="37" t="n">
        <x:f>ROUND(E506*G506,2)</x:f>
        <x:v>7800</x:v>
      </x:c>
      <x:c r="N506" s="37" t="n">
        <x:f>ROUND(E506*I506,2)</x:f>
        <x:v>7800</x:v>
      </x:c>
      <x:c r="O506" s="18" t="str">
        <x:v>Employer contribution allowance. Includes part-time seats13/14 voluntarily; insurer/eligibility must confirm.</x:v>
      </x:c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48" customHeight="1">
      <x:c r="A507" s="1" t="str">
        <x:v>STA-03-DENT</x:v>
      </x:c>
      <x:c r="B507" s="1" t="str">
        <x:v>Staff</x:v>
      </x:c>
      <x:c r="C507" s="18" t="str">
        <x:v>Employee 03 | Lead teacher 02 | dental</x:v>
      </x:c>
      <x:c r="D507" s="18" t="str">
        <x:v>employee-year</x:v>
      </x:c>
      <x:c r="E507" s="32" t="n">
        <x:v>1</x:v>
      </x:c>
      <x:c r="F507" s="33" t="n">
        <x:v>660</x:v>
      </x:c>
      <x:c r="G507" s="33" t="n">
        <x:v>660</x:v>
      </x:c>
      <x:c r="H507" s="34" t="str">
        <x:v>recurring</x:v>
      </x:c>
      <x:c r="I507" s="33" t="n">
        <x:v>660</x:v>
      </x:c>
      <x:c r="J507" s="35" t="str">
        <x:v>Planning allowance; written quote needed</x:v>
      </x:c>
      <x:c r="K507" s="36" t="str">
        <x:v>ALLOW</x:v>
      </x:c>
      <x:c r="L507" s="37" t="n">
        <x:f>ROUND(E507*F507,2)</x:f>
        <x:v>660</x:v>
      </x:c>
      <x:c r="M507" s="37" t="n">
        <x:f>ROUND(E507*G507,2)</x:f>
        <x:v>660</x:v>
      </x:c>
      <x:c r="N507" s="37" t="n">
        <x:f>ROUND(E507*I507,2)</x:f>
        <x:v>660</x:v>
      </x:c>
      <x:c r="O507" s="18" t="str">
        <x:v>Employer contribution allowance. Includes part-time seats13/14 voluntarily; insurer/eligibility must confirm.</x:v>
      </x:c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48" customHeight="1">
      <x:c r="A508" s="1" t="str">
        <x:v>STA-03-VISION</x:v>
      </x:c>
      <x:c r="B508" s="1" t="str">
        <x:v>Staff</x:v>
      </x:c>
      <x:c r="C508" s="18" t="str">
        <x:v>Employee 03 | Lead teacher 02 | vision</x:v>
      </x:c>
      <x:c r="D508" s="18" t="str">
        <x:v>employee-year</x:v>
      </x:c>
      <x:c r="E508" s="32" t="n">
        <x:v>1</x:v>
      </x:c>
      <x:c r="F508" s="33" t="n">
        <x:v>240</x:v>
      </x:c>
      <x:c r="G508" s="33" t="n">
        <x:v>240</x:v>
      </x:c>
      <x:c r="H508" s="34" t="str">
        <x:v>recurring</x:v>
      </x:c>
      <x:c r="I508" s="33" t="n">
        <x:v>240</x:v>
      </x:c>
      <x:c r="J508" s="35" t="str">
        <x:v>Planning allowance; written quote needed</x:v>
      </x:c>
      <x:c r="K508" s="36" t="str">
        <x:v>ALLOW</x:v>
      </x:c>
      <x:c r="L508" s="37" t="n">
        <x:f>ROUND(E508*F508,2)</x:f>
        <x:v>240</x:v>
      </x:c>
      <x:c r="M508" s="37" t="n">
        <x:f>ROUND(E508*G508,2)</x:f>
        <x:v>240</x:v>
      </x:c>
      <x:c r="N508" s="37" t="n">
        <x:f>ROUND(E508*I508,2)</x:f>
        <x:v>240</x:v>
      </x:c>
      <x:c r="O508" s="18" t="str">
        <x:v>Employer contribution allowance. Includes part-time seats13/14 voluntarily; insurer/eligibility must confirm.</x:v>
      </x:c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48" customHeight="1">
      <x:c r="A509" s="1" t="str">
        <x:v>STA-04-WAGE</x:v>
      </x:c>
      <x:c r="B509" s="1" t="str">
        <x:v>Staff</x:v>
      </x:c>
      <x:c r="C509" s="18" t="str">
        <x:v>Employee 04 | Lead teacher 03 | wages</x:v>
      </x:c>
      <x:c r="D509" s="18" t="str">
        <x:v>paid hour</x:v>
      </x:c>
      <x:c r="E509" s="32" t="n">
        <x:v>2080</x:v>
      </x:c>
      <x:c r="F509" s="33" t="n">
        <x:v>17.98</x:v>
      </x:c>
      <x:c r="G509" s="33" t="n">
        <x:v>22.34</x:v>
      </x:c>
      <x:c r="H509" s="34" t="str">
        <x:v>recurring</x:v>
      </x:c>
      <x:c r="I509" s="33" t="n">
        <x:v>26.808</x:v>
      </x:c>
      <x:c r="J509" s="35" t="str">
        <x:v>Local 75th percentile wage benchmark</x:v>
      </x:c>
      <x:c r="K509" s="36" t="str">
        <x:v>TEACH</x:v>
      </x:c>
      <x:c r="L509" s="37" t="n">
        <x:f>ROUND(E509*F509,2)</x:f>
        <x:v>37398.4</x:v>
      </x:c>
      <x:c r="M509" s="37" t="n">
        <x:f>ROUND(E509*G509,2)</x:f>
        <x:v>46467.2</x:v>
      </x:c>
      <x:c r="N509" s="37" t="n">
        <x:f>ROUND(E509*I509,2)</x:f>
        <x:v>55760.64</x:v>
      </x:c>
      <x:c r="O509" s="18" t="str">
        <x:v>40h/week max; PTO/training within paid hours. Wage high=20% above base, sensitivity not observed percentile.</x:v>
      </x:c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48" customHeight="1">
      <x:c r="A510" s="1" t="str">
        <x:v>STA-04-SS</x:v>
      </x:c>
      <x:c r="B510" s="1" t="str">
        <x:v>Staff</x:v>
      </x:c>
      <x:c r="C510" s="18" t="str">
        <x:v>Employee 04 | Lead teacher 03 | employer Social Security</x:v>
      </x:c>
      <x:c r="D510" s="18" t="str">
        <x:v>employee-year</x:v>
      </x:c>
      <x:c r="E510" s="32" t="n">
        <x:v>1</x:v>
      </x:c>
      <x:c r="F510" s="38" t="n">
        <x:f>ROUND(MIN(L509,184500)*0.062,2)</x:f>
        <x:v>2318.7</x:v>
      </x:c>
      <x:c r="G510" s="38" t="n">
        <x:f>ROUND(MIN(M509,184500)*0.062,2)</x:f>
        <x:v>2880.97</x:v>
      </x:c>
      <x:c r="H510" s="34" t="str">
        <x:v>recurring</x:v>
      </x:c>
      <x:c r="I510" s="38" t="n">
        <x:f>ROUND(MIN(N509,184500)*0.062,2)</x:f>
        <x:v>3457.16</x:v>
      </x:c>
      <x:c r="J510" s="35" t="str">
        <x:v>Published rate × assumed quantity</x:v>
      </x:c>
      <x:c r="K510" s="36" t="str">
        <x:v>IRS</x:v>
      </x:c>
      <x:c r="L510" s="37" t="n">
        <x:f>ROUND(E510*F510,2)</x:f>
        <x:v>2318.7</x:v>
      </x:c>
      <x:c r="M510" s="37" t="n">
        <x:f>ROUND(E510*G510,2)</x:f>
        <x:v>2880.97</x:v>
      </x:c>
      <x:c r="N510" s="37" t="n">
        <x:f>ROUND(E510*I510,2)</x:f>
        <x:v>3457.16</x:v>
      </x:c>
      <x:c r="O510" s="18" t="str">
        <x:v>Rate 6.2000%; cap $184,500. WC 2% and retirement3% allowances.</x:v>
      </x:c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48" customHeight="1">
      <x:c r="A511" s="1" t="str">
        <x:v>STA-04-MED</x:v>
      </x:c>
      <x:c r="B511" s="1" t="str">
        <x:v>Staff</x:v>
      </x:c>
      <x:c r="C511" s="18" t="str">
        <x:v>Employee 04 | Lead teacher 03 | employer Medicare</x:v>
      </x:c>
      <x:c r="D511" s="18" t="str">
        <x:v>employee-year</x:v>
      </x:c>
      <x:c r="E511" s="32" t="n">
        <x:v>1</x:v>
      </x:c>
      <x:c r="F511" s="38" t="n">
        <x:f>ROUND(L509*0.0145,2)</x:f>
        <x:v>542.28</x:v>
      </x:c>
      <x:c r="G511" s="38" t="n">
        <x:f>ROUND(M509*0.0145,2)</x:f>
        <x:v>673.77</x:v>
      </x:c>
      <x:c r="H511" s="34" t="str">
        <x:v>recurring</x:v>
      </x:c>
      <x:c r="I511" s="38" t="n">
        <x:f>ROUND(N509*0.0145,2)</x:f>
        <x:v>808.53</x:v>
      </x:c>
      <x:c r="J511" s="35" t="str">
        <x:v>Published rate × assumed quantity</x:v>
      </x:c>
      <x:c r="K511" s="36" t="str">
        <x:v>IRS</x:v>
      </x:c>
      <x:c r="L511" s="37" t="n">
        <x:f>ROUND(E511*F511,2)</x:f>
        <x:v>542.28</x:v>
      </x:c>
      <x:c r="M511" s="37" t="n">
        <x:f>ROUND(E511*G511,2)</x:f>
        <x:v>673.77</x:v>
      </x:c>
      <x:c r="N511" s="37" t="n">
        <x:f>ROUND(E511*I511,2)</x:f>
        <x:v>808.53</x:v>
      </x:c>
      <x:c r="O511" s="18" t="str">
        <x:v>Rate 1.4500%; Applied to modeled wages. WC 2% and retirement3% allowances.</x:v>
      </x:c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48" customHeight="1">
      <x:c r="A512" s="1" t="str">
        <x:v>STA-04-FUTA</x:v>
      </x:c>
      <x:c r="B512" s="1" t="str">
        <x:v>Staff</x:v>
      </x:c>
      <x:c r="C512" s="18" t="str">
        <x:v>Employee 04 | Lead teacher 03 | employer FUTA</x:v>
      </x:c>
      <x:c r="D512" s="18" t="str">
        <x:v>employee-year</x:v>
      </x:c>
      <x:c r="E512" s="32" t="n">
        <x:v>1</x:v>
      </x:c>
      <x:c r="F512" s="38" t="n">
        <x:f>ROUND(MIN(L509,7000)*0.006,2)</x:f>
        <x:v>42</x:v>
      </x:c>
      <x:c r="G512" s="38" t="n">
        <x:f>ROUND(MIN(M509,7000)*0.006,2)</x:f>
        <x:v>42</x:v>
      </x:c>
      <x:c r="H512" s="34" t="str">
        <x:v>recurring</x:v>
      </x:c>
      <x:c r="I512" s="38" t="n">
        <x:f>ROUND(MIN(N509,7000)*0.006,2)</x:f>
        <x:v>42</x:v>
      </x:c>
      <x:c r="J512" s="35" t="str">
        <x:v>Published rate × assumed quantity</x:v>
      </x:c>
      <x:c r="K512" s="36" t="str">
        <x:v>FUTA</x:v>
      </x:c>
      <x:c r="L512" s="37" t="n">
        <x:f>ROUND(E512*F512,2)</x:f>
        <x:v>42</x:v>
      </x:c>
      <x:c r="M512" s="37" t="n">
        <x:f>ROUND(E512*G512,2)</x:f>
        <x:v>42</x:v>
      </x:c>
      <x:c r="N512" s="37" t="n">
        <x:f>ROUND(E512*I512,2)</x:f>
        <x:v>42</x:v>
      </x:c>
      <x:c r="O512" s="18" t="str">
        <x:v>Rate 0.6000%; cap $7,000. WC 2% and retirement3% allowances.</x:v>
      </x:c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48" customHeight="1">
      <x:c r="A513" s="1" t="str">
        <x:v>STA-04-UI</x:v>
      </x:c>
      <x:c r="B513" s="1" t="str">
        <x:v>Staff</x:v>
      </x:c>
      <x:c r="C513" s="18" t="str">
        <x:v>Employee 04 | Lead teacher 03 | employer Missouri unemployment</x:v>
      </x:c>
      <x:c r="D513" s="18" t="str">
        <x:v>employee-year</x:v>
      </x:c>
      <x:c r="E513" s="32" t="n">
        <x:v>1</x:v>
      </x:c>
      <x:c r="F513" s="38" t="n">
        <x:f>ROUND(MIN(L509,9000)*0.02376,2)</x:f>
        <x:v>213.84</x:v>
      </x:c>
      <x:c r="G513" s="38" t="n">
        <x:f>ROUND(MIN(M509,9000)*0.02376,2)</x:f>
        <x:v>213.84</x:v>
      </x:c>
      <x:c r="H513" s="34" t="str">
        <x:v>recurring</x:v>
      </x:c>
      <x:c r="I513" s="38" t="n">
        <x:f>ROUND(MIN(N509,9000)*0.02376,2)</x:f>
        <x:v>213.84</x:v>
      </x:c>
      <x:c r="J513" s="35" t="str">
        <x:v>Published rate × assumed quantity</x:v>
      </x:c>
      <x:c r="K513" s="36" t="str">
        <x:v>MOUI</x:v>
      </x:c>
      <x:c r="L513" s="37" t="n">
        <x:f>ROUND(E513*F513,2)</x:f>
        <x:v>213.84</x:v>
      </x:c>
      <x:c r="M513" s="37" t="n">
        <x:f>ROUND(E513*G513,2)</x:f>
        <x:v>213.84</x:v>
      </x:c>
      <x:c r="N513" s="37" t="n">
        <x:f>ROUND(E513*I513,2)</x:f>
        <x:v>213.84</x:v>
      </x:c>
      <x:c r="O513" s="18" t="str">
        <x:v>Rate 2.3760%; cap $9,000. WC 2% and retirement3% allowances.</x:v>
      </x:c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48" customHeight="1">
      <x:c r="A514" s="1" t="str">
        <x:v>STA-04-WC</x:v>
      </x:c>
      <x:c r="B514" s="1" t="str">
        <x:v>Staff</x:v>
      </x:c>
      <x:c r="C514" s="18" t="str">
        <x:v>Employee 04 | Lead teacher 03 | employer workers compensation</x:v>
      </x:c>
      <x:c r="D514" s="18" t="str">
        <x:v>employee-year</x:v>
      </x:c>
      <x:c r="E514" s="32" t="n">
        <x:v>1</x:v>
      </x:c>
      <x:c r="F514" s="38" t="n">
        <x:f>ROUND(L509*0.02,2)</x:f>
        <x:v>747.97</x:v>
      </x:c>
      <x:c r="G514" s="38" t="n">
        <x:f>ROUND(M509*0.02,2)</x:f>
        <x:v>929.34</x:v>
      </x:c>
      <x:c r="H514" s="34" t="str">
        <x:v>recurring</x:v>
      </x:c>
      <x:c r="I514" s="38" t="n">
        <x:f>ROUND(N509*0.02,2)</x:f>
        <x:v>1115.21</x:v>
      </x:c>
      <x:c r="J514" s="35" t="str">
        <x:v>Planning allowance; written quote needed</x:v>
      </x:c>
      <x:c r="K514" s="36" t="str">
        <x:v>ALLOW</x:v>
      </x:c>
      <x:c r="L514" s="37" t="n">
        <x:f>ROUND(E514*F514,2)</x:f>
        <x:v>747.97</x:v>
      </x:c>
      <x:c r="M514" s="37" t="n">
        <x:f>ROUND(E514*G514,2)</x:f>
        <x:v>929.34</x:v>
      </x:c>
      <x:c r="N514" s="37" t="n">
        <x:f>ROUND(E514*I514,2)</x:f>
        <x:v>1115.21</x:v>
      </x:c>
      <x:c r="O514" s="18" t="str">
        <x:v>Rate 2.0000%; Applied to modeled wages. WC 2% and retirement3% allowances.</x:v>
      </x:c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48" customHeight="1">
      <x:c r="A515" s="1" t="str">
        <x:v>STA-04-RET</x:v>
      </x:c>
      <x:c r="B515" s="1" t="str">
        <x:v>Staff</x:v>
      </x:c>
      <x:c r="C515" s="18" t="str">
        <x:v>Employee 04 | Lead teacher 03 | employer retirement match</x:v>
      </x:c>
      <x:c r="D515" s="18" t="str">
        <x:v>employee-year</x:v>
      </x:c>
      <x:c r="E515" s="32" t="n">
        <x:v>1</x:v>
      </x:c>
      <x:c r="F515" s="38" t="n">
        <x:f>ROUND(L509*0.03,2)</x:f>
        <x:v>1121.95</x:v>
      </x:c>
      <x:c r="G515" s="38" t="n">
        <x:f>ROUND(M509*0.03,2)</x:f>
        <x:v>1394.02</x:v>
      </x:c>
      <x:c r="H515" s="34" t="str">
        <x:v>recurring</x:v>
      </x:c>
      <x:c r="I515" s="38" t="n">
        <x:f>ROUND(N509*0.03,2)</x:f>
        <x:v>1672.82</x:v>
      </x:c>
      <x:c r="J515" s="35" t="str">
        <x:v>Planning allowance; written quote needed</x:v>
      </x:c>
      <x:c r="K515" s="36" t="str">
        <x:v>ALLOW</x:v>
      </x:c>
      <x:c r="L515" s="37" t="n">
        <x:f>ROUND(E515*F515,2)</x:f>
        <x:v>1121.95</x:v>
      </x:c>
      <x:c r="M515" s="37" t="n">
        <x:f>ROUND(E515*G515,2)</x:f>
        <x:v>1394.02</x:v>
      </x:c>
      <x:c r="N515" s="37" t="n">
        <x:f>ROUND(E515*I515,2)</x:f>
        <x:v>1672.82</x:v>
      </x:c>
      <x:c r="O515" s="18" t="str">
        <x:v>Rate 3.0000%; Applied to modeled wages. WC 2% and retirement3% allowances.</x:v>
      </x:c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48" customHeight="1">
      <x:c r="A516" s="1" t="str">
        <x:v>STA-04-HEALTH</x:v>
      </x:c>
      <x:c r="B516" s="1" t="str">
        <x:v>Staff</x:v>
      </x:c>
      <x:c r="C516" s="18" t="str">
        <x:v>Employee 04 | Lead teacher 03 | health coverage</x:v>
      </x:c>
      <x:c r="D516" s="18" t="str">
        <x:v>employee-year</x:v>
      </x:c>
      <x:c r="E516" s="32" t="n">
        <x:v>1</x:v>
      </x:c>
      <x:c r="F516" s="33" t="n">
        <x:v>7800</x:v>
      </x:c>
      <x:c r="G516" s="33" t="n">
        <x:v>7800</x:v>
      </x:c>
      <x:c r="H516" s="34" t="str">
        <x:v>recurring</x:v>
      </x:c>
      <x:c r="I516" s="33" t="n">
        <x:v>7800</x:v>
      </x:c>
      <x:c r="J516" s="35" t="str">
        <x:v>Planning allowance; written quote needed</x:v>
      </x:c>
      <x:c r="K516" s="36" t="str">
        <x:v>ALLOW</x:v>
      </x:c>
      <x:c r="L516" s="37" t="n">
        <x:f>ROUND(E516*F516,2)</x:f>
        <x:v>7800</x:v>
      </x:c>
      <x:c r="M516" s="37" t="n">
        <x:f>ROUND(E516*G516,2)</x:f>
        <x:v>7800</x:v>
      </x:c>
      <x:c r="N516" s="37" t="n">
        <x:f>ROUND(E516*I516,2)</x:f>
        <x:v>7800</x:v>
      </x:c>
      <x:c r="O516" s="18" t="str">
        <x:v>Employer contribution allowance. Includes part-time seats13/14 voluntarily; insurer/eligibility must confirm.</x:v>
      </x:c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48" customHeight="1">
      <x:c r="A517" s="1" t="str">
        <x:v>STA-04-DENT</x:v>
      </x:c>
      <x:c r="B517" s="1" t="str">
        <x:v>Staff</x:v>
      </x:c>
      <x:c r="C517" s="18" t="str">
        <x:v>Employee 04 | Lead teacher 03 | dental</x:v>
      </x:c>
      <x:c r="D517" s="18" t="str">
        <x:v>employee-year</x:v>
      </x:c>
      <x:c r="E517" s="32" t="n">
        <x:v>1</x:v>
      </x:c>
      <x:c r="F517" s="33" t="n">
        <x:v>660</x:v>
      </x:c>
      <x:c r="G517" s="33" t="n">
        <x:v>660</x:v>
      </x:c>
      <x:c r="H517" s="34" t="str">
        <x:v>recurring</x:v>
      </x:c>
      <x:c r="I517" s="33" t="n">
        <x:v>660</x:v>
      </x:c>
      <x:c r="J517" s="35" t="str">
        <x:v>Planning allowance; written quote needed</x:v>
      </x:c>
      <x:c r="K517" s="36" t="str">
        <x:v>ALLOW</x:v>
      </x:c>
      <x:c r="L517" s="37" t="n">
        <x:f>ROUND(E517*F517,2)</x:f>
        <x:v>660</x:v>
      </x:c>
      <x:c r="M517" s="37" t="n">
        <x:f>ROUND(E517*G517,2)</x:f>
        <x:v>660</x:v>
      </x:c>
      <x:c r="N517" s="37" t="n">
        <x:f>ROUND(E517*I517,2)</x:f>
        <x:v>660</x:v>
      </x:c>
      <x:c r="O517" s="18" t="str">
        <x:v>Employer contribution allowance. Includes part-time seats13/14 voluntarily; insurer/eligibility must confirm.</x:v>
      </x:c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48" customHeight="1">
      <x:c r="A518" s="1" t="str">
        <x:v>STA-04-VISION</x:v>
      </x:c>
      <x:c r="B518" s="1" t="str">
        <x:v>Staff</x:v>
      </x:c>
      <x:c r="C518" s="18" t="str">
        <x:v>Employee 04 | Lead teacher 03 | vision</x:v>
      </x:c>
      <x:c r="D518" s="18" t="str">
        <x:v>employee-year</x:v>
      </x:c>
      <x:c r="E518" s="32" t="n">
        <x:v>1</x:v>
      </x:c>
      <x:c r="F518" s="33" t="n">
        <x:v>240</x:v>
      </x:c>
      <x:c r="G518" s="33" t="n">
        <x:v>240</x:v>
      </x:c>
      <x:c r="H518" s="34" t="str">
        <x:v>recurring</x:v>
      </x:c>
      <x:c r="I518" s="33" t="n">
        <x:v>240</x:v>
      </x:c>
      <x:c r="J518" s="35" t="str">
        <x:v>Planning allowance; written quote needed</x:v>
      </x:c>
      <x:c r="K518" s="36" t="str">
        <x:v>ALLOW</x:v>
      </x:c>
      <x:c r="L518" s="37" t="n">
        <x:f>ROUND(E518*F518,2)</x:f>
        <x:v>240</x:v>
      </x:c>
      <x:c r="M518" s="37" t="n">
        <x:f>ROUND(E518*G518,2)</x:f>
        <x:v>240</x:v>
      </x:c>
      <x:c r="N518" s="37" t="n">
        <x:f>ROUND(E518*I518,2)</x:f>
        <x:v>240</x:v>
      </x:c>
      <x:c r="O518" s="18" t="str">
        <x:v>Employer contribution allowance. Includes part-time seats13/14 voluntarily; insurer/eligibility must confirm.</x:v>
      </x:c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48" customHeight="1">
      <x:c r="A519" s="1" t="str">
        <x:v>STA-05-WAGE</x:v>
      </x:c>
      <x:c r="B519" s="1" t="str">
        <x:v>Staff</x:v>
      </x:c>
      <x:c r="C519" s="18" t="str">
        <x:v>Employee 05 | Lead teacher 04 | wages</x:v>
      </x:c>
      <x:c r="D519" s="18" t="str">
        <x:v>paid hour</x:v>
      </x:c>
      <x:c r="E519" s="32" t="n">
        <x:v>2080</x:v>
      </x:c>
      <x:c r="F519" s="33" t="n">
        <x:v>17.98</x:v>
      </x:c>
      <x:c r="G519" s="33" t="n">
        <x:v>22.34</x:v>
      </x:c>
      <x:c r="H519" s="34" t="str">
        <x:v>recurring</x:v>
      </x:c>
      <x:c r="I519" s="33" t="n">
        <x:v>26.808</x:v>
      </x:c>
      <x:c r="J519" s="35" t="str">
        <x:v>Local 75th percentile wage benchmark</x:v>
      </x:c>
      <x:c r="K519" s="36" t="str">
        <x:v>TEACH</x:v>
      </x:c>
      <x:c r="L519" s="37" t="n">
        <x:f>ROUND(E519*F519,2)</x:f>
        <x:v>37398.4</x:v>
      </x:c>
      <x:c r="M519" s="37" t="n">
        <x:f>ROUND(E519*G519,2)</x:f>
        <x:v>46467.2</x:v>
      </x:c>
      <x:c r="N519" s="37" t="n">
        <x:f>ROUND(E519*I519,2)</x:f>
        <x:v>55760.64</x:v>
      </x:c>
      <x:c r="O519" s="18" t="str">
        <x:v>40h/week max; PTO/training within paid hours. Wage high=20% above base, sensitivity not observed percentile.</x:v>
      </x:c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ht="48" customHeight="1">
      <x:c r="A520" s="1" t="str">
        <x:v>STA-05-SS</x:v>
      </x:c>
      <x:c r="B520" s="1" t="str">
        <x:v>Staff</x:v>
      </x:c>
      <x:c r="C520" s="18" t="str">
        <x:v>Employee 05 | Lead teacher 04 | employer Social Security</x:v>
      </x:c>
      <x:c r="D520" s="18" t="str">
        <x:v>employee-year</x:v>
      </x:c>
      <x:c r="E520" s="32" t="n">
        <x:v>1</x:v>
      </x:c>
      <x:c r="F520" s="38" t="n">
        <x:f>ROUND(MIN(L519,184500)*0.062,2)</x:f>
        <x:v>2318.7</x:v>
      </x:c>
      <x:c r="G520" s="38" t="n">
        <x:f>ROUND(MIN(M519,184500)*0.062,2)</x:f>
        <x:v>2880.97</x:v>
      </x:c>
      <x:c r="H520" s="34" t="str">
        <x:v>recurring</x:v>
      </x:c>
      <x:c r="I520" s="38" t="n">
        <x:f>ROUND(MIN(N519,184500)*0.062,2)</x:f>
        <x:v>3457.16</x:v>
      </x:c>
      <x:c r="J520" s="35" t="str">
        <x:v>Published rate × assumed quantity</x:v>
      </x:c>
      <x:c r="K520" s="36" t="str">
        <x:v>IRS</x:v>
      </x:c>
      <x:c r="L520" s="37" t="n">
        <x:f>ROUND(E520*F520,2)</x:f>
        <x:v>2318.7</x:v>
      </x:c>
      <x:c r="M520" s="37" t="n">
        <x:f>ROUND(E520*G520,2)</x:f>
        <x:v>2880.97</x:v>
      </x:c>
      <x:c r="N520" s="37" t="n">
        <x:f>ROUND(E520*I520,2)</x:f>
        <x:v>3457.16</x:v>
      </x:c>
      <x:c r="O520" s="18" t="str">
        <x:v>Rate 6.2000%; cap $184,500. WC 2% and retirement3% allowances.</x:v>
      </x:c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ht="48" customHeight="1">
      <x:c r="A521" s="1" t="str">
        <x:v>STA-05-MED</x:v>
      </x:c>
      <x:c r="B521" s="1" t="str">
        <x:v>Staff</x:v>
      </x:c>
      <x:c r="C521" s="18" t="str">
        <x:v>Employee 05 | Lead teacher 04 | employer Medicare</x:v>
      </x:c>
      <x:c r="D521" s="18" t="str">
        <x:v>employee-year</x:v>
      </x:c>
      <x:c r="E521" s="32" t="n">
        <x:v>1</x:v>
      </x:c>
      <x:c r="F521" s="38" t="n">
        <x:f>ROUND(L519*0.0145,2)</x:f>
        <x:v>542.28</x:v>
      </x:c>
      <x:c r="G521" s="38" t="n">
        <x:f>ROUND(M519*0.0145,2)</x:f>
        <x:v>673.77</x:v>
      </x:c>
      <x:c r="H521" s="34" t="str">
        <x:v>recurring</x:v>
      </x:c>
      <x:c r="I521" s="38" t="n">
        <x:f>ROUND(N519*0.0145,2)</x:f>
        <x:v>808.53</x:v>
      </x:c>
      <x:c r="J521" s="35" t="str">
        <x:v>Published rate × assumed quantity</x:v>
      </x:c>
      <x:c r="K521" s="36" t="str">
        <x:v>IRS</x:v>
      </x:c>
      <x:c r="L521" s="37" t="n">
        <x:f>ROUND(E521*F521,2)</x:f>
        <x:v>542.28</x:v>
      </x:c>
      <x:c r="M521" s="37" t="n">
        <x:f>ROUND(E521*G521,2)</x:f>
        <x:v>673.77</x:v>
      </x:c>
      <x:c r="N521" s="37" t="n">
        <x:f>ROUND(E521*I521,2)</x:f>
        <x:v>808.53</x:v>
      </x:c>
      <x:c r="O521" s="18" t="str">
        <x:v>Rate 1.4500%; Applied to modeled wages. WC 2% and retirement3% allowances.</x:v>
      </x:c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ht="48" customHeight="1">
      <x:c r="A522" s="1" t="str">
        <x:v>STA-05-FUTA</x:v>
      </x:c>
      <x:c r="B522" s="1" t="str">
        <x:v>Staff</x:v>
      </x:c>
      <x:c r="C522" s="18" t="str">
        <x:v>Employee 05 | Lead teacher 04 | employer FUTA</x:v>
      </x:c>
      <x:c r="D522" s="18" t="str">
        <x:v>employee-year</x:v>
      </x:c>
      <x:c r="E522" s="32" t="n">
        <x:v>1</x:v>
      </x:c>
      <x:c r="F522" s="38" t="n">
        <x:f>ROUND(MIN(L519,7000)*0.006,2)</x:f>
        <x:v>42</x:v>
      </x:c>
      <x:c r="G522" s="38" t="n">
        <x:f>ROUND(MIN(M519,7000)*0.006,2)</x:f>
        <x:v>42</x:v>
      </x:c>
      <x:c r="H522" s="34" t="str">
        <x:v>recurring</x:v>
      </x:c>
      <x:c r="I522" s="38" t="n">
        <x:f>ROUND(MIN(N519,7000)*0.006,2)</x:f>
        <x:v>42</x:v>
      </x:c>
      <x:c r="J522" s="35" t="str">
        <x:v>Published rate × assumed quantity</x:v>
      </x:c>
      <x:c r="K522" s="36" t="str">
        <x:v>FUTA</x:v>
      </x:c>
      <x:c r="L522" s="37" t="n">
        <x:f>ROUND(E522*F522,2)</x:f>
        <x:v>42</x:v>
      </x:c>
      <x:c r="M522" s="37" t="n">
        <x:f>ROUND(E522*G522,2)</x:f>
        <x:v>42</x:v>
      </x:c>
      <x:c r="N522" s="37" t="n">
        <x:f>ROUND(E522*I522,2)</x:f>
        <x:v>42</x:v>
      </x:c>
      <x:c r="O522" s="18" t="str">
        <x:v>Rate 0.6000%; cap $7,000. WC 2% and retirement3% allowances.</x:v>
      </x:c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ht="48" customHeight="1">
      <x:c r="A523" s="1" t="str">
        <x:v>STA-05-UI</x:v>
      </x:c>
      <x:c r="B523" s="1" t="str">
        <x:v>Staff</x:v>
      </x:c>
      <x:c r="C523" s="18" t="str">
        <x:v>Employee 05 | Lead teacher 04 | employer Missouri unemployment</x:v>
      </x:c>
      <x:c r="D523" s="18" t="str">
        <x:v>employee-year</x:v>
      </x:c>
      <x:c r="E523" s="32" t="n">
        <x:v>1</x:v>
      </x:c>
      <x:c r="F523" s="38" t="n">
        <x:f>ROUND(MIN(L519,9000)*0.02376,2)</x:f>
        <x:v>213.84</x:v>
      </x:c>
      <x:c r="G523" s="38" t="n">
        <x:f>ROUND(MIN(M519,9000)*0.02376,2)</x:f>
        <x:v>213.84</x:v>
      </x:c>
      <x:c r="H523" s="34" t="str">
        <x:v>recurring</x:v>
      </x:c>
      <x:c r="I523" s="38" t="n">
        <x:f>ROUND(MIN(N519,9000)*0.02376,2)</x:f>
        <x:v>213.84</x:v>
      </x:c>
      <x:c r="J523" s="35" t="str">
        <x:v>Published rate × assumed quantity</x:v>
      </x:c>
      <x:c r="K523" s="36" t="str">
        <x:v>MOUI</x:v>
      </x:c>
      <x:c r="L523" s="37" t="n">
        <x:f>ROUND(E523*F523,2)</x:f>
        <x:v>213.84</x:v>
      </x:c>
      <x:c r="M523" s="37" t="n">
        <x:f>ROUND(E523*G523,2)</x:f>
        <x:v>213.84</x:v>
      </x:c>
      <x:c r="N523" s="37" t="n">
        <x:f>ROUND(E523*I523,2)</x:f>
        <x:v>213.84</x:v>
      </x:c>
      <x:c r="O523" s="18" t="str">
        <x:v>Rate 2.3760%; cap $9,000. WC 2% and retirement3% allowances.</x:v>
      </x:c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ht="48" customHeight="1">
      <x:c r="A524" s="1" t="str">
        <x:v>STA-05-WC</x:v>
      </x:c>
      <x:c r="B524" s="1" t="str">
        <x:v>Staff</x:v>
      </x:c>
      <x:c r="C524" s="18" t="str">
        <x:v>Employee 05 | Lead teacher 04 | employer workers compensation</x:v>
      </x:c>
      <x:c r="D524" s="18" t="str">
        <x:v>employee-year</x:v>
      </x:c>
      <x:c r="E524" s="32" t="n">
        <x:v>1</x:v>
      </x:c>
      <x:c r="F524" s="38" t="n">
        <x:f>ROUND(L519*0.02,2)</x:f>
        <x:v>747.97</x:v>
      </x:c>
      <x:c r="G524" s="38" t="n">
        <x:f>ROUND(M519*0.02,2)</x:f>
        <x:v>929.34</x:v>
      </x:c>
      <x:c r="H524" s="34" t="str">
        <x:v>recurring</x:v>
      </x:c>
      <x:c r="I524" s="38" t="n">
        <x:f>ROUND(N519*0.02,2)</x:f>
        <x:v>1115.21</x:v>
      </x:c>
      <x:c r="J524" s="35" t="str">
        <x:v>Planning allowance; written quote needed</x:v>
      </x:c>
      <x:c r="K524" s="36" t="str">
        <x:v>ALLOW</x:v>
      </x:c>
      <x:c r="L524" s="37" t="n">
        <x:f>ROUND(E524*F524,2)</x:f>
        <x:v>747.97</x:v>
      </x:c>
      <x:c r="M524" s="37" t="n">
        <x:f>ROUND(E524*G524,2)</x:f>
        <x:v>929.34</x:v>
      </x:c>
      <x:c r="N524" s="37" t="n">
        <x:f>ROUND(E524*I524,2)</x:f>
        <x:v>1115.21</x:v>
      </x:c>
      <x:c r="O524" s="18" t="str">
        <x:v>Rate 2.0000%; Applied to modeled wages. WC 2% and retirement3% allowances.</x:v>
      </x:c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ht="48" customHeight="1">
      <x:c r="A525" s="1" t="str">
        <x:v>STA-05-RET</x:v>
      </x:c>
      <x:c r="B525" s="1" t="str">
        <x:v>Staff</x:v>
      </x:c>
      <x:c r="C525" s="18" t="str">
        <x:v>Employee 05 | Lead teacher 04 | employer retirement match</x:v>
      </x:c>
      <x:c r="D525" s="18" t="str">
        <x:v>employee-year</x:v>
      </x:c>
      <x:c r="E525" s="32" t="n">
        <x:v>1</x:v>
      </x:c>
      <x:c r="F525" s="38" t="n">
        <x:f>ROUND(L519*0.03,2)</x:f>
        <x:v>1121.95</x:v>
      </x:c>
      <x:c r="G525" s="38" t="n">
        <x:f>ROUND(M519*0.03,2)</x:f>
        <x:v>1394.02</x:v>
      </x:c>
      <x:c r="H525" s="34" t="str">
        <x:v>recurring</x:v>
      </x:c>
      <x:c r="I525" s="38" t="n">
        <x:f>ROUND(N519*0.03,2)</x:f>
        <x:v>1672.82</x:v>
      </x:c>
      <x:c r="J525" s="35" t="str">
        <x:v>Planning allowance; written quote needed</x:v>
      </x:c>
      <x:c r="K525" s="36" t="str">
        <x:v>ALLOW</x:v>
      </x:c>
      <x:c r="L525" s="37" t="n">
        <x:f>ROUND(E525*F525,2)</x:f>
        <x:v>1121.95</x:v>
      </x:c>
      <x:c r="M525" s="37" t="n">
        <x:f>ROUND(E525*G525,2)</x:f>
        <x:v>1394.02</x:v>
      </x:c>
      <x:c r="N525" s="37" t="n">
        <x:f>ROUND(E525*I525,2)</x:f>
        <x:v>1672.82</x:v>
      </x:c>
      <x:c r="O525" s="18" t="str">
        <x:v>Rate 3.0000%; Applied to modeled wages. WC 2% and retirement3% allowances.</x:v>
      </x:c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ht="48" customHeight="1">
      <x:c r="A526" s="1" t="str">
        <x:v>STA-05-HEALTH</x:v>
      </x:c>
      <x:c r="B526" s="1" t="str">
        <x:v>Staff</x:v>
      </x:c>
      <x:c r="C526" s="18" t="str">
        <x:v>Employee 05 | Lead teacher 04 | health coverage</x:v>
      </x:c>
      <x:c r="D526" s="18" t="str">
        <x:v>employee-year</x:v>
      </x:c>
      <x:c r="E526" s="32" t="n">
        <x:v>1</x:v>
      </x:c>
      <x:c r="F526" s="33" t="n">
        <x:v>7800</x:v>
      </x:c>
      <x:c r="G526" s="33" t="n">
        <x:v>7800</x:v>
      </x:c>
      <x:c r="H526" s="34" t="str">
        <x:v>recurring</x:v>
      </x:c>
      <x:c r="I526" s="33" t="n">
        <x:v>7800</x:v>
      </x:c>
      <x:c r="J526" s="35" t="str">
        <x:v>Planning allowance; written quote needed</x:v>
      </x:c>
      <x:c r="K526" s="36" t="str">
        <x:v>ALLOW</x:v>
      </x:c>
      <x:c r="L526" s="37" t="n">
        <x:f>ROUND(E526*F526,2)</x:f>
        <x:v>7800</x:v>
      </x:c>
      <x:c r="M526" s="37" t="n">
        <x:f>ROUND(E526*G526,2)</x:f>
        <x:v>7800</x:v>
      </x:c>
      <x:c r="N526" s="37" t="n">
        <x:f>ROUND(E526*I526,2)</x:f>
        <x:v>7800</x:v>
      </x:c>
      <x:c r="O526" s="18" t="str">
        <x:v>Employer contribution allowance. Includes part-time seats13/14 voluntarily; insurer/eligibility must confirm.</x:v>
      </x:c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ht="48" customHeight="1">
      <x:c r="A527" s="1" t="str">
        <x:v>STA-05-DENT</x:v>
      </x:c>
      <x:c r="B527" s="1" t="str">
        <x:v>Staff</x:v>
      </x:c>
      <x:c r="C527" s="18" t="str">
        <x:v>Employee 05 | Lead teacher 04 | dental</x:v>
      </x:c>
      <x:c r="D527" s="18" t="str">
        <x:v>employee-year</x:v>
      </x:c>
      <x:c r="E527" s="32" t="n">
        <x:v>1</x:v>
      </x:c>
      <x:c r="F527" s="33" t="n">
        <x:v>660</x:v>
      </x:c>
      <x:c r="G527" s="33" t="n">
        <x:v>660</x:v>
      </x:c>
      <x:c r="H527" s="34" t="str">
        <x:v>recurring</x:v>
      </x:c>
      <x:c r="I527" s="33" t="n">
        <x:v>660</x:v>
      </x:c>
      <x:c r="J527" s="35" t="str">
        <x:v>Planning allowance; written quote needed</x:v>
      </x:c>
      <x:c r="K527" s="36" t="str">
        <x:v>ALLOW</x:v>
      </x:c>
      <x:c r="L527" s="37" t="n">
        <x:f>ROUND(E527*F527,2)</x:f>
        <x:v>660</x:v>
      </x:c>
      <x:c r="M527" s="37" t="n">
        <x:f>ROUND(E527*G527,2)</x:f>
        <x:v>660</x:v>
      </x:c>
      <x:c r="N527" s="37" t="n">
        <x:f>ROUND(E527*I527,2)</x:f>
        <x:v>660</x:v>
      </x:c>
      <x:c r="O527" s="18" t="str">
        <x:v>Employer contribution allowance. Includes part-time seats13/14 voluntarily; insurer/eligibility must confirm.</x:v>
      </x:c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ht="48" customHeight="1">
      <x:c r="A528" s="1" t="str">
        <x:v>STA-05-VISION</x:v>
      </x:c>
      <x:c r="B528" s="1" t="str">
        <x:v>Staff</x:v>
      </x:c>
      <x:c r="C528" s="18" t="str">
        <x:v>Employee 05 | Lead teacher 04 | vision</x:v>
      </x:c>
      <x:c r="D528" s="18" t="str">
        <x:v>employee-year</x:v>
      </x:c>
      <x:c r="E528" s="32" t="n">
        <x:v>1</x:v>
      </x:c>
      <x:c r="F528" s="33" t="n">
        <x:v>240</x:v>
      </x:c>
      <x:c r="G528" s="33" t="n">
        <x:v>240</x:v>
      </x:c>
      <x:c r="H528" s="34" t="str">
        <x:v>recurring</x:v>
      </x:c>
      <x:c r="I528" s="33" t="n">
        <x:v>240</x:v>
      </x:c>
      <x:c r="J528" s="35" t="str">
        <x:v>Planning allowance; written quote needed</x:v>
      </x:c>
      <x:c r="K528" s="36" t="str">
        <x:v>ALLOW</x:v>
      </x:c>
      <x:c r="L528" s="37" t="n">
        <x:f>ROUND(E528*F528,2)</x:f>
        <x:v>240</x:v>
      </x:c>
      <x:c r="M528" s="37" t="n">
        <x:f>ROUND(E528*G528,2)</x:f>
        <x:v>240</x:v>
      </x:c>
      <x:c r="N528" s="37" t="n">
        <x:f>ROUND(E528*I528,2)</x:f>
        <x:v>240</x:v>
      </x:c>
      <x:c r="O528" s="18" t="str">
        <x:v>Employer contribution allowance. Includes part-time seats13/14 voluntarily; insurer/eligibility must confirm.</x:v>
      </x:c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ht="48" customHeight="1">
      <x:c r="A529" s="1" t="str">
        <x:v>STA-06-WAGE</x:v>
      </x:c>
      <x:c r="B529" s="1" t="str">
        <x:v>Staff</x:v>
      </x:c>
      <x:c r="C529" s="18" t="str">
        <x:v>Employee 06 | Assistant teacher 01 | wages</x:v>
      </x:c>
      <x:c r="D529" s="18" t="str">
        <x:v>paid hour</x:v>
      </x:c>
      <x:c r="E529" s="32" t="n">
        <x:v>2080</x:v>
      </x:c>
      <x:c r="F529" s="33" t="n">
        <x:v>15.27</x:v>
      </x:c>
      <x:c r="G529" s="33" t="n">
        <x:v>17.08</x:v>
      </x:c>
      <x:c r="H529" s="34" t="str">
        <x:v>recurring</x:v>
      </x:c>
      <x:c r="I529" s="33" t="n">
        <x:v>20.496</x:v>
      </x:c>
      <x:c r="J529" s="35" t="str">
        <x:v>Local 75th percentile wage benchmark</x:v>
      </x:c>
      <x:c r="K529" s="36" t="str">
        <x:v>CARE</x:v>
      </x:c>
      <x:c r="L529" s="37" t="n">
        <x:f>ROUND(E529*F529,2)</x:f>
        <x:v>31761.6</x:v>
      </x:c>
      <x:c r="M529" s="37" t="n">
        <x:f>ROUND(E529*G529,2)</x:f>
        <x:v>35526.4</x:v>
      </x:c>
      <x:c r="N529" s="37" t="n">
        <x:f>ROUND(E529*I529,2)</x:f>
        <x:v>42631.68</x:v>
      </x:c>
      <x:c r="O529" s="18" t="str">
        <x:v>40h/week max; PTO/training within paid hours. Wage high=20% above base, sensitivity not observed percentile.</x:v>
      </x:c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ht="48" customHeight="1">
      <x:c r="A530" s="1" t="str">
        <x:v>STA-06-SS</x:v>
      </x:c>
      <x:c r="B530" s="1" t="str">
        <x:v>Staff</x:v>
      </x:c>
      <x:c r="C530" s="18" t="str">
        <x:v>Employee 06 | Assistant teacher 01 | employer Social Security</x:v>
      </x:c>
      <x:c r="D530" s="18" t="str">
        <x:v>employee-year</x:v>
      </x:c>
      <x:c r="E530" s="32" t="n">
        <x:v>1</x:v>
      </x:c>
      <x:c r="F530" s="38" t="n">
        <x:f>ROUND(MIN(L529,184500)*0.062,2)</x:f>
        <x:v>1969.22</x:v>
      </x:c>
      <x:c r="G530" s="38" t="n">
        <x:f>ROUND(MIN(M529,184500)*0.062,2)</x:f>
        <x:v>2202.64</x:v>
      </x:c>
      <x:c r="H530" s="34" t="str">
        <x:v>recurring</x:v>
      </x:c>
      <x:c r="I530" s="38" t="n">
        <x:f>ROUND(MIN(N529,184500)*0.062,2)</x:f>
        <x:v>2643.16</x:v>
      </x:c>
      <x:c r="J530" s="35" t="str">
        <x:v>Published rate × assumed quantity</x:v>
      </x:c>
      <x:c r="K530" s="36" t="str">
        <x:v>IRS</x:v>
      </x:c>
      <x:c r="L530" s="37" t="n">
        <x:f>ROUND(E530*F530,2)</x:f>
        <x:v>1969.22</x:v>
      </x:c>
      <x:c r="M530" s="37" t="n">
        <x:f>ROUND(E530*G530,2)</x:f>
        <x:v>2202.64</x:v>
      </x:c>
      <x:c r="N530" s="37" t="n">
        <x:f>ROUND(E530*I530,2)</x:f>
        <x:v>2643.16</x:v>
      </x:c>
      <x:c r="O530" s="18" t="str">
        <x:v>Rate 6.2000%; cap $184,500. WC 2% and retirement3% allowances.</x:v>
      </x:c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ht="48" customHeight="1">
      <x:c r="A531" s="1" t="str">
        <x:v>STA-06-MED</x:v>
      </x:c>
      <x:c r="B531" s="1" t="str">
        <x:v>Staff</x:v>
      </x:c>
      <x:c r="C531" s="18" t="str">
        <x:v>Employee 06 | Assistant teacher 01 | employer Medicare</x:v>
      </x:c>
      <x:c r="D531" s="18" t="str">
        <x:v>employee-year</x:v>
      </x:c>
      <x:c r="E531" s="32" t="n">
        <x:v>1</x:v>
      </x:c>
      <x:c r="F531" s="38" t="n">
        <x:f>ROUND(L529*0.0145,2)</x:f>
        <x:v>460.54</x:v>
      </x:c>
      <x:c r="G531" s="38" t="n">
        <x:f>ROUND(M529*0.0145,2)</x:f>
        <x:v>515.13</x:v>
      </x:c>
      <x:c r="H531" s="34" t="str">
        <x:v>recurring</x:v>
      </x:c>
      <x:c r="I531" s="38" t="n">
        <x:f>ROUND(N529*0.0145,2)</x:f>
        <x:v>618.16</x:v>
      </x:c>
      <x:c r="J531" s="35" t="str">
        <x:v>Published rate × assumed quantity</x:v>
      </x:c>
      <x:c r="K531" s="36" t="str">
        <x:v>IRS</x:v>
      </x:c>
      <x:c r="L531" s="37" t="n">
        <x:f>ROUND(E531*F531,2)</x:f>
        <x:v>460.54</x:v>
      </x:c>
      <x:c r="M531" s="37" t="n">
        <x:f>ROUND(E531*G531,2)</x:f>
        <x:v>515.13</x:v>
      </x:c>
      <x:c r="N531" s="37" t="n">
        <x:f>ROUND(E531*I531,2)</x:f>
        <x:v>618.16</x:v>
      </x:c>
      <x:c r="O531" s="18" t="str">
        <x:v>Rate 1.4500%; Applied to modeled wages. WC 2% and retirement3% allowances.</x:v>
      </x:c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ht="48" customHeight="1">
      <x:c r="A532" s="1" t="str">
        <x:v>STA-06-FUTA</x:v>
      </x:c>
      <x:c r="B532" s="1" t="str">
        <x:v>Staff</x:v>
      </x:c>
      <x:c r="C532" s="18" t="str">
        <x:v>Employee 06 | Assistant teacher 01 | employer FUTA</x:v>
      </x:c>
      <x:c r="D532" s="18" t="str">
        <x:v>employee-year</x:v>
      </x:c>
      <x:c r="E532" s="32" t="n">
        <x:v>1</x:v>
      </x:c>
      <x:c r="F532" s="38" t="n">
        <x:f>ROUND(MIN(L529,7000)*0.006,2)</x:f>
        <x:v>42</x:v>
      </x:c>
      <x:c r="G532" s="38" t="n">
        <x:f>ROUND(MIN(M529,7000)*0.006,2)</x:f>
        <x:v>42</x:v>
      </x:c>
      <x:c r="H532" s="34" t="str">
        <x:v>recurring</x:v>
      </x:c>
      <x:c r="I532" s="38" t="n">
        <x:f>ROUND(MIN(N529,7000)*0.006,2)</x:f>
        <x:v>42</x:v>
      </x:c>
      <x:c r="J532" s="35" t="str">
        <x:v>Published rate × assumed quantity</x:v>
      </x:c>
      <x:c r="K532" s="36" t="str">
        <x:v>FUTA</x:v>
      </x:c>
      <x:c r="L532" s="37" t="n">
        <x:f>ROUND(E532*F532,2)</x:f>
        <x:v>42</x:v>
      </x:c>
      <x:c r="M532" s="37" t="n">
        <x:f>ROUND(E532*G532,2)</x:f>
        <x:v>42</x:v>
      </x:c>
      <x:c r="N532" s="37" t="n">
        <x:f>ROUND(E532*I532,2)</x:f>
        <x:v>42</x:v>
      </x:c>
      <x:c r="O532" s="18" t="str">
        <x:v>Rate 0.6000%; cap $7,000. WC 2% and retirement3% allowances.</x:v>
      </x:c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ht="48" customHeight="1">
      <x:c r="A533" s="1" t="str">
        <x:v>STA-06-UI</x:v>
      </x:c>
      <x:c r="B533" s="1" t="str">
        <x:v>Staff</x:v>
      </x:c>
      <x:c r="C533" s="18" t="str">
        <x:v>Employee 06 | Assistant teacher 01 | employer Missouri unemployment</x:v>
      </x:c>
      <x:c r="D533" s="18" t="str">
        <x:v>employee-year</x:v>
      </x:c>
      <x:c r="E533" s="32" t="n">
        <x:v>1</x:v>
      </x:c>
      <x:c r="F533" s="38" t="n">
        <x:f>ROUND(MIN(L529,9000)*0.02376,2)</x:f>
        <x:v>213.84</x:v>
      </x:c>
      <x:c r="G533" s="38" t="n">
        <x:f>ROUND(MIN(M529,9000)*0.02376,2)</x:f>
        <x:v>213.84</x:v>
      </x:c>
      <x:c r="H533" s="34" t="str">
        <x:v>recurring</x:v>
      </x:c>
      <x:c r="I533" s="38" t="n">
        <x:f>ROUND(MIN(N529,9000)*0.02376,2)</x:f>
        <x:v>213.84</x:v>
      </x:c>
      <x:c r="J533" s="35" t="str">
        <x:v>Published rate × assumed quantity</x:v>
      </x:c>
      <x:c r="K533" s="36" t="str">
        <x:v>MOUI</x:v>
      </x:c>
      <x:c r="L533" s="37" t="n">
        <x:f>ROUND(E533*F533,2)</x:f>
        <x:v>213.84</x:v>
      </x:c>
      <x:c r="M533" s="37" t="n">
        <x:f>ROUND(E533*G533,2)</x:f>
        <x:v>213.84</x:v>
      </x:c>
      <x:c r="N533" s="37" t="n">
        <x:f>ROUND(E533*I533,2)</x:f>
        <x:v>213.84</x:v>
      </x:c>
      <x:c r="O533" s="18" t="str">
        <x:v>Rate 2.3760%; cap $9,000. WC 2% and retirement3% allowances.</x:v>
      </x:c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ht="48" customHeight="1">
      <x:c r="A534" s="1" t="str">
        <x:v>STA-06-WC</x:v>
      </x:c>
      <x:c r="B534" s="1" t="str">
        <x:v>Staff</x:v>
      </x:c>
      <x:c r="C534" s="18" t="str">
        <x:v>Employee 06 | Assistant teacher 01 | employer workers compensation</x:v>
      </x:c>
      <x:c r="D534" s="18" t="str">
        <x:v>employee-year</x:v>
      </x:c>
      <x:c r="E534" s="32" t="n">
        <x:v>1</x:v>
      </x:c>
      <x:c r="F534" s="38" t="n">
        <x:f>ROUND(L529*0.02,2)</x:f>
        <x:v>635.23</x:v>
      </x:c>
      <x:c r="G534" s="38" t="n">
        <x:f>ROUND(M529*0.02,2)</x:f>
        <x:v>710.53</x:v>
      </x:c>
      <x:c r="H534" s="34" t="str">
        <x:v>recurring</x:v>
      </x:c>
      <x:c r="I534" s="38" t="n">
        <x:f>ROUND(N529*0.02,2)</x:f>
        <x:v>852.63</x:v>
      </x:c>
      <x:c r="J534" s="35" t="str">
        <x:v>Planning allowance; written quote needed</x:v>
      </x:c>
      <x:c r="K534" s="36" t="str">
        <x:v>ALLOW</x:v>
      </x:c>
      <x:c r="L534" s="37" t="n">
        <x:f>ROUND(E534*F534,2)</x:f>
        <x:v>635.23</x:v>
      </x:c>
      <x:c r="M534" s="37" t="n">
        <x:f>ROUND(E534*G534,2)</x:f>
        <x:v>710.53</x:v>
      </x:c>
      <x:c r="N534" s="37" t="n">
        <x:f>ROUND(E534*I534,2)</x:f>
        <x:v>852.63</x:v>
      </x:c>
      <x:c r="O534" s="18" t="str">
        <x:v>Rate 2.0000%; Applied to modeled wages. WC 2% and retirement3% allowances.</x:v>
      </x:c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ht="48" customHeight="1">
      <x:c r="A535" s="1" t="str">
        <x:v>STA-06-RET</x:v>
      </x:c>
      <x:c r="B535" s="1" t="str">
        <x:v>Staff</x:v>
      </x:c>
      <x:c r="C535" s="18" t="str">
        <x:v>Employee 06 | Assistant teacher 01 | employer retirement match</x:v>
      </x:c>
      <x:c r="D535" s="18" t="str">
        <x:v>employee-year</x:v>
      </x:c>
      <x:c r="E535" s="32" t="n">
        <x:v>1</x:v>
      </x:c>
      <x:c r="F535" s="38" t="n">
        <x:f>ROUND(L529*0.03,2)</x:f>
        <x:v>952.85</x:v>
      </x:c>
      <x:c r="G535" s="38" t="n">
        <x:f>ROUND(M529*0.03,2)</x:f>
        <x:v>1065.79</x:v>
      </x:c>
      <x:c r="H535" s="34" t="str">
        <x:v>recurring</x:v>
      </x:c>
      <x:c r="I535" s="38" t="n">
        <x:f>ROUND(N529*0.03,2)</x:f>
        <x:v>1278.95</x:v>
      </x:c>
      <x:c r="J535" s="35" t="str">
        <x:v>Planning allowance; written quote needed</x:v>
      </x:c>
      <x:c r="K535" s="36" t="str">
        <x:v>ALLOW</x:v>
      </x:c>
      <x:c r="L535" s="37" t="n">
        <x:f>ROUND(E535*F535,2)</x:f>
        <x:v>952.85</x:v>
      </x:c>
      <x:c r="M535" s="37" t="n">
        <x:f>ROUND(E535*G535,2)</x:f>
        <x:v>1065.79</x:v>
      </x:c>
      <x:c r="N535" s="37" t="n">
        <x:f>ROUND(E535*I535,2)</x:f>
        <x:v>1278.95</x:v>
      </x:c>
      <x:c r="O535" s="18" t="str">
        <x:v>Rate 3.0000%; Applied to modeled wages. WC 2% and retirement3% allowances.</x:v>
      </x:c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ht="48" customHeight="1">
      <x:c r="A536" s="1" t="str">
        <x:v>STA-06-HEALTH</x:v>
      </x:c>
      <x:c r="B536" s="1" t="str">
        <x:v>Staff</x:v>
      </x:c>
      <x:c r="C536" s="18" t="str">
        <x:v>Employee 06 | Assistant teacher 01 | health coverage</x:v>
      </x:c>
      <x:c r="D536" s="18" t="str">
        <x:v>employee-year</x:v>
      </x:c>
      <x:c r="E536" s="32" t="n">
        <x:v>1</x:v>
      </x:c>
      <x:c r="F536" s="33" t="n">
        <x:v>7800</x:v>
      </x:c>
      <x:c r="G536" s="33" t="n">
        <x:v>7800</x:v>
      </x:c>
      <x:c r="H536" s="34" t="str">
        <x:v>recurring</x:v>
      </x:c>
      <x:c r="I536" s="33" t="n">
        <x:v>7800</x:v>
      </x:c>
      <x:c r="J536" s="35" t="str">
        <x:v>Planning allowance; written quote needed</x:v>
      </x:c>
      <x:c r="K536" s="36" t="str">
        <x:v>ALLOW</x:v>
      </x:c>
      <x:c r="L536" s="37" t="n">
        <x:f>ROUND(E536*F536,2)</x:f>
        <x:v>7800</x:v>
      </x:c>
      <x:c r="M536" s="37" t="n">
        <x:f>ROUND(E536*G536,2)</x:f>
        <x:v>7800</x:v>
      </x:c>
      <x:c r="N536" s="37" t="n">
        <x:f>ROUND(E536*I536,2)</x:f>
        <x:v>7800</x:v>
      </x:c>
      <x:c r="O536" s="18" t="str">
        <x:v>Employer contribution allowance. Includes part-time seats13/14 voluntarily; insurer/eligibility must confirm.</x:v>
      </x:c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ht="48" customHeight="1">
      <x:c r="A537" s="1" t="str">
        <x:v>STA-06-DENT</x:v>
      </x:c>
      <x:c r="B537" s="1" t="str">
        <x:v>Staff</x:v>
      </x:c>
      <x:c r="C537" s="18" t="str">
        <x:v>Employee 06 | Assistant teacher 01 | dental</x:v>
      </x:c>
      <x:c r="D537" s="18" t="str">
        <x:v>employee-year</x:v>
      </x:c>
      <x:c r="E537" s="32" t="n">
        <x:v>1</x:v>
      </x:c>
      <x:c r="F537" s="33" t="n">
        <x:v>660</x:v>
      </x:c>
      <x:c r="G537" s="33" t="n">
        <x:v>660</x:v>
      </x:c>
      <x:c r="H537" s="34" t="str">
        <x:v>recurring</x:v>
      </x:c>
      <x:c r="I537" s="33" t="n">
        <x:v>660</x:v>
      </x:c>
      <x:c r="J537" s="35" t="str">
        <x:v>Planning allowance; written quote needed</x:v>
      </x:c>
      <x:c r="K537" s="36" t="str">
        <x:v>ALLOW</x:v>
      </x:c>
      <x:c r="L537" s="37" t="n">
        <x:f>ROUND(E537*F537,2)</x:f>
        <x:v>660</x:v>
      </x:c>
      <x:c r="M537" s="37" t="n">
        <x:f>ROUND(E537*G537,2)</x:f>
        <x:v>660</x:v>
      </x:c>
      <x:c r="N537" s="37" t="n">
        <x:f>ROUND(E537*I537,2)</x:f>
        <x:v>660</x:v>
      </x:c>
      <x:c r="O537" s="18" t="str">
        <x:v>Employer contribution allowance. Includes part-time seats13/14 voluntarily; insurer/eligibility must confirm.</x:v>
      </x:c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ht="48" customHeight="1">
      <x:c r="A538" s="1" t="str">
        <x:v>STA-06-VISION</x:v>
      </x:c>
      <x:c r="B538" s="1" t="str">
        <x:v>Staff</x:v>
      </x:c>
      <x:c r="C538" s="18" t="str">
        <x:v>Employee 06 | Assistant teacher 01 | vision</x:v>
      </x:c>
      <x:c r="D538" s="18" t="str">
        <x:v>employee-year</x:v>
      </x:c>
      <x:c r="E538" s="32" t="n">
        <x:v>1</x:v>
      </x:c>
      <x:c r="F538" s="33" t="n">
        <x:v>240</x:v>
      </x:c>
      <x:c r="G538" s="33" t="n">
        <x:v>240</x:v>
      </x:c>
      <x:c r="H538" s="34" t="str">
        <x:v>recurring</x:v>
      </x:c>
      <x:c r="I538" s="33" t="n">
        <x:v>240</x:v>
      </x:c>
      <x:c r="J538" s="35" t="str">
        <x:v>Planning allowance; written quote needed</x:v>
      </x:c>
      <x:c r="K538" s="36" t="str">
        <x:v>ALLOW</x:v>
      </x:c>
      <x:c r="L538" s="37" t="n">
        <x:f>ROUND(E538*F538,2)</x:f>
        <x:v>240</x:v>
      </x:c>
      <x:c r="M538" s="37" t="n">
        <x:f>ROUND(E538*G538,2)</x:f>
        <x:v>240</x:v>
      </x:c>
      <x:c r="N538" s="37" t="n">
        <x:f>ROUND(E538*I538,2)</x:f>
        <x:v>240</x:v>
      </x:c>
      <x:c r="O538" s="18" t="str">
        <x:v>Employer contribution allowance. Includes part-time seats13/14 voluntarily; insurer/eligibility must confirm.</x:v>
      </x:c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ht="48" customHeight="1">
      <x:c r="A539" s="1" t="str">
        <x:v>STA-07-WAGE</x:v>
      </x:c>
      <x:c r="B539" s="1" t="str">
        <x:v>Staff</x:v>
      </x:c>
      <x:c r="C539" s="18" t="str">
        <x:v>Employee 07 | Assistant teacher 02 | wages</x:v>
      </x:c>
      <x:c r="D539" s="18" t="str">
        <x:v>paid hour</x:v>
      </x:c>
      <x:c r="E539" s="32" t="n">
        <x:v>2080</x:v>
      </x:c>
      <x:c r="F539" s="33" t="n">
        <x:v>15.27</x:v>
      </x:c>
      <x:c r="G539" s="33" t="n">
        <x:v>17.08</x:v>
      </x:c>
      <x:c r="H539" s="34" t="str">
        <x:v>recurring</x:v>
      </x:c>
      <x:c r="I539" s="33" t="n">
        <x:v>20.496</x:v>
      </x:c>
      <x:c r="J539" s="35" t="str">
        <x:v>Local 75th percentile wage benchmark</x:v>
      </x:c>
      <x:c r="K539" s="36" t="str">
        <x:v>CARE</x:v>
      </x:c>
      <x:c r="L539" s="37" t="n">
        <x:f>ROUND(E539*F539,2)</x:f>
        <x:v>31761.6</x:v>
      </x:c>
      <x:c r="M539" s="37" t="n">
        <x:f>ROUND(E539*G539,2)</x:f>
        <x:v>35526.4</x:v>
      </x:c>
      <x:c r="N539" s="37" t="n">
        <x:f>ROUND(E539*I539,2)</x:f>
        <x:v>42631.68</x:v>
      </x:c>
      <x:c r="O539" s="18" t="str">
        <x:v>40h/week max; PTO/training within paid hours. Wage high=20% above base, sensitivity not observed percentile.</x:v>
      </x:c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ht="48" customHeight="1">
      <x:c r="A540" s="1" t="str">
        <x:v>STA-07-SS</x:v>
      </x:c>
      <x:c r="B540" s="1" t="str">
        <x:v>Staff</x:v>
      </x:c>
      <x:c r="C540" s="18" t="str">
        <x:v>Employee 07 | Assistant teacher 02 | employer Social Security</x:v>
      </x:c>
      <x:c r="D540" s="18" t="str">
        <x:v>employee-year</x:v>
      </x:c>
      <x:c r="E540" s="32" t="n">
        <x:v>1</x:v>
      </x:c>
      <x:c r="F540" s="38" t="n">
        <x:f>ROUND(MIN(L539,184500)*0.062,2)</x:f>
        <x:v>1969.22</x:v>
      </x:c>
      <x:c r="G540" s="38" t="n">
        <x:f>ROUND(MIN(M539,184500)*0.062,2)</x:f>
        <x:v>2202.64</x:v>
      </x:c>
      <x:c r="H540" s="34" t="str">
        <x:v>recurring</x:v>
      </x:c>
      <x:c r="I540" s="38" t="n">
        <x:f>ROUND(MIN(N539,184500)*0.062,2)</x:f>
        <x:v>2643.16</x:v>
      </x:c>
      <x:c r="J540" s="35" t="str">
        <x:v>Published rate × assumed quantity</x:v>
      </x:c>
      <x:c r="K540" s="36" t="str">
        <x:v>IRS</x:v>
      </x:c>
      <x:c r="L540" s="37" t="n">
        <x:f>ROUND(E540*F540,2)</x:f>
        <x:v>1969.22</x:v>
      </x:c>
      <x:c r="M540" s="37" t="n">
        <x:f>ROUND(E540*G540,2)</x:f>
        <x:v>2202.64</x:v>
      </x:c>
      <x:c r="N540" s="37" t="n">
        <x:f>ROUND(E540*I540,2)</x:f>
        <x:v>2643.16</x:v>
      </x:c>
      <x:c r="O540" s="18" t="str">
        <x:v>Rate 6.2000%; cap $184,500. WC 2% and retirement3% allowances.</x:v>
      </x:c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ht="48" customHeight="1">
      <x:c r="A541" s="1" t="str">
        <x:v>STA-07-MED</x:v>
      </x:c>
      <x:c r="B541" s="1" t="str">
        <x:v>Staff</x:v>
      </x:c>
      <x:c r="C541" s="18" t="str">
        <x:v>Employee 07 | Assistant teacher 02 | employer Medicare</x:v>
      </x:c>
      <x:c r="D541" s="18" t="str">
        <x:v>employee-year</x:v>
      </x:c>
      <x:c r="E541" s="32" t="n">
        <x:v>1</x:v>
      </x:c>
      <x:c r="F541" s="38" t="n">
        <x:f>ROUND(L539*0.0145,2)</x:f>
        <x:v>460.54</x:v>
      </x:c>
      <x:c r="G541" s="38" t="n">
        <x:f>ROUND(M539*0.0145,2)</x:f>
        <x:v>515.13</x:v>
      </x:c>
      <x:c r="H541" s="34" t="str">
        <x:v>recurring</x:v>
      </x:c>
      <x:c r="I541" s="38" t="n">
        <x:f>ROUND(N539*0.0145,2)</x:f>
        <x:v>618.16</x:v>
      </x:c>
      <x:c r="J541" s="35" t="str">
        <x:v>Published rate × assumed quantity</x:v>
      </x:c>
      <x:c r="K541" s="36" t="str">
        <x:v>IRS</x:v>
      </x:c>
      <x:c r="L541" s="37" t="n">
        <x:f>ROUND(E541*F541,2)</x:f>
        <x:v>460.54</x:v>
      </x:c>
      <x:c r="M541" s="37" t="n">
        <x:f>ROUND(E541*G541,2)</x:f>
        <x:v>515.13</x:v>
      </x:c>
      <x:c r="N541" s="37" t="n">
        <x:f>ROUND(E541*I541,2)</x:f>
        <x:v>618.16</x:v>
      </x:c>
      <x:c r="O541" s="18" t="str">
        <x:v>Rate 1.4500%; Applied to modeled wages. WC 2% and retirement3% allowances.</x:v>
      </x:c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ht="48" customHeight="1">
      <x:c r="A542" s="1" t="str">
        <x:v>STA-07-FUTA</x:v>
      </x:c>
      <x:c r="B542" s="1" t="str">
        <x:v>Staff</x:v>
      </x:c>
      <x:c r="C542" s="18" t="str">
        <x:v>Employee 07 | Assistant teacher 02 | employer FUTA</x:v>
      </x:c>
      <x:c r="D542" s="18" t="str">
        <x:v>employee-year</x:v>
      </x:c>
      <x:c r="E542" s="32" t="n">
        <x:v>1</x:v>
      </x:c>
      <x:c r="F542" s="38" t="n">
        <x:f>ROUND(MIN(L539,7000)*0.006,2)</x:f>
        <x:v>42</x:v>
      </x:c>
      <x:c r="G542" s="38" t="n">
        <x:f>ROUND(MIN(M539,7000)*0.006,2)</x:f>
        <x:v>42</x:v>
      </x:c>
      <x:c r="H542" s="34" t="str">
        <x:v>recurring</x:v>
      </x:c>
      <x:c r="I542" s="38" t="n">
        <x:f>ROUND(MIN(N539,7000)*0.006,2)</x:f>
        <x:v>42</x:v>
      </x:c>
      <x:c r="J542" s="35" t="str">
        <x:v>Published rate × assumed quantity</x:v>
      </x:c>
      <x:c r="K542" s="36" t="str">
        <x:v>FUTA</x:v>
      </x:c>
      <x:c r="L542" s="37" t="n">
        <x:f>ROUND(E542*F542,2)</x:f>
        <x:v>42</x:v>
      </x:c>
      <x:c r="M542" s="37" t="n">
        <x:f>ROUND(E542*G542,2)</x:f>
        <x:v>42</x:v>
      </x:c>
      <x:c r="N542" s="37" t="n">
        <x:f>ROUND(E542*I542,2)</x:f>
        <x:v>42</x:v>
      </x:c>
      <x:c r="O542" s="18" t="str">
        <x:v>Rate 0.6000%; cap $7,000. WC 2% and retirement3% allowances.</x:v>
      </x:c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ht="48" customHeight="1">
      <x:c r="A543" s="1" t="str">
        <x:v>STA-07-UI</x:v>
      </x:c>
      <x:c r="B543" s="1" t="str">
        <x:v>Staff</x:v>
      </x:c>
      <x:c r="C543" s="18" t="str">
        <x:v>Employee 07 | Assistant teacher 02 | employer Missouri unemployment</x:v>
      </x:c>
      <x:c r="D543" s="18" t="str">
        <x:v>employee-year</x:v>
      </x:c>
      <x:c r="E543" s="32" t="n">
        <x:v>1</x:v>
      </x:c>
      <x:c r="F543" s="38" t="n">
        <x:f>ROUND(MIN(L539,9000)*0.02376,2)</x:f>
        <x:v>213.84</x:v>
      </x:c>
      <x:c r="G543" s="38" t="n">
        <x:f>ROUND(MIN(M539,9000)*0.02376,2)</x:f>
        <x:v>213.84</x:v>
      </x:c>
      <x:c r="H543" s="34" t="str">
        <x:v>recurring</x:v>
      </x:c>
      <x:c r="I543" s="38" t="n">
        <x:f>ROUND(MIN(N539,9000)*0.02376,2)</x:f>
        <x:v>213.84</x:v>
      </x:c>
      <x:c r="J543" s="35" t="str">
        <x:v>Published rate × assumed quantity</x:v>
      </x:c>
      <x:c r="K543" s="36" t="str">
        <x:v>MOUI</x:v>
      </x:c>
      <x:c r="L543" s="37" t="n">
        <x:f>ROUND(E543*F543,2)</x:f>
        <x:v>213.84</x:v>
      </x:c>
      <x:c r="M543" s="37" t="n">
        <x:f>ROUND(E543*G543,2)</x:f>
        <x:v>213.84</x:v>
      </x:c>
      <x:c r="N543" s="37" t="n">
        <x:f>ROUND(E543*I543,2)</x:f>
        <x:v>213.84</x:v>
      </x:c>
      <x:c r="O543" s="18" t="str">
        <x:v>Rate 2.3760%; cap $9,000. WC 2% and retirement3% allowances.</x:v>
      </x:c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ht="48" customHeight="1">
      <x:c r="A544" s="1" t="str">
        <x:v>STA-07-WC</x:v>
      </x:c>
      <x:c r="B544" s="1" t="str">
        <x:v>Staff</x:v>
      </x:c>
      <x:c r="C544" s="18" t="str">
        <x:v>Employee 07 | Assistant teacher 02 | employer workers compensation</x:v>
      </x:c>
      <x:c r="D544" s="18" t="str">
        <x:v>employee-year</x:v>
      </x:c>
      <x:c r="E544" s="32" t="n">
        <x:v>1</x:v>
      </x:c>
      <x:c r="F544" s="38" t="n">
        <x:f>ROUND(L539*0.02,2)</x:f>
        <x:v>635.23</x:v>
      </x:c>
      <x:c r="G544" s="38" t="n">
        <x:f>ROUND(M539*0.02,2)</x:f>
        <x:v>710.53</x:v>
      </x:c>
      <x:c r="H544" s="34" t="str">
        <x:v>recurring</x:v>
      </x:c>
      <x:c r="I544" s="38" t="n">
        <x:f>ROUND(N539*0.02,2)</x:f>
        <x:v>852.63</x:v>
      </x:c>
      <x:c r="J544" s="35" t="str">
        <x:v>Planning allowance; written quote needed</x:v>
      </x:c>
      <x:c r="K544" s="36" t="str">
        <x:v>ALLOW</x:v>
      </x:c>
      <x:c r="L544" s="37" t="n">
        <x:f>ROUND(E544*F544,2)</x:f>
        <x:v>635.23</x:v>
      </x:c>
      <x:c r="M544" s="37" t="n">
        <x:f>ROUND(E544*G544,2)</x:f>
        <x:v>710.53</x:v>
      </x:c>
      <x:c r="N544" s="37" t="n">
        <x:f>ROUND(E544*I544,2)</x:f>
        <x:v>852.63</x:v>
      </x:c>
      <x:c r="O544" s="18" t="str">
        <x:v>Rate 2.0000%; Applied to modeled wages. WC 2% and retirement3% allowances.</x:v>
      </x:c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ht="48" customHeight="1">
      <x:c r="A545" s="1" t="str">
        <x:v>STA-07-RET</x:v>
      </x:c>
      <x:c r="B545" s="1" t="str">
        <x:v>Staff</x:v>
      </x:c>
      <x:c r="C545" s="18" t="str">
        <x:v>Employee 07 | Assistant teacher 02 | employer retirement match</x:v>
      </x:c>
      <x:c r="D545" s="18" t="str">
        <x:v>employee-year</x:v>
      </x:c>
      <x:c r="E545" s="32" t="n">
        <x:v>1</x:v>
      </x:c>
      <x:c r="F545" s="38" t="n">
        <x:f>ROUND(L539*0.03,2)</x:f>
        <x:v>952.85</x:v>
      </x:c>
      <x:c r="G545" s="38" t="n">
        <x:f>ROUND(M539*0.03,2)</x:f>
        <x:v>1065.79</x:v>
      </x:c>
      <x:c r="H545" s="34" t="str">
        <x:v>recurring</x:v>
      </x:c>
      <x:c r="I545" s="38" t="n">
        <x:f>ROUND(N539*0.03,2)</x:f>
        <x:v>1278.95</x:v>
      </x:c>
      <x:c r="J545" s="35" t="str">
        <x:v>Planning allowance; written quote needed</x:v>
      </x:c>
      <x:c r="K545" s="36" t="str">
        <x:v>ALLOW</x:v>
      </x:c>
      <x:c r="L545" s="37" t="n">
        <x:f>ROUND(E545*F545,2)</x:f>
        <x:v>952.85</x:v>
      </x:c>
      <x:c r="M545" s="37" t="n">
        <x:f>ROUND(E545*G545,2)</x:f>
        <x:v>1065.79</x:v>
      </x:c>
      <x:c r="N545" s="37" t="n">
        <x:f>ROUND(E545*I545,2)</x:f>
        <x:v>1278.95</x:v>
      </x:c>
      <x:c r="O545" s="18" t="str">
        <x:v>Rate 3.0000%; Applied to modeled wages. WC 2% and retirement3% allowances.</x:v>
      </x:c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ht="48" customHeight="1">
      <x:c r="A546" s="1" t="str">
        <x:v>STA-07-HEALTH</x:v>
      </x:c>
      <x:c r="B546" s="1" t="str">
        <x:v>Staff</x:v>
      </x:c>
      <x:c r="C546" s="18" t="str">
        <x:v>Employee 07 | Assistant teacher 02 | health coverage</x:v>
      </x:c>
      <x:c r="D546" s="18" t="str">
        <x:v>employee-year</x:v>
      </x:c>
      <x:c r="E546" s="32" t="n">
        <x:v>1</x:v>
      </x:c>
      <x:c r="F546" s="33" t="n">
        <x:v>7800</x:v>
      </x:c>
      <x:c r="G546" s="33" t="n">
        <x:v>7800</x:v>
      </x:c>
      <x:c r="H546" s="34" t="str">
        <x:v>recurring</x:v>
      </x:c>
      <x:c r="I546" s="33" t="n">
        <x:v>7800</x:v>
      </x:c>
      <x:c r="J546" s="35" t="str">
        <x:v>Planning allowance; written quote needed</x:v>
      </x:c>
      <x:c r="K546" s="36" t="str">
        <x:v>ALLOW</x:v>
      </x:c>
      <x:c r="L546" s="37" t="n">
        <x:f>ROUND(E546*F546,2)</x:f>
        <x:v>7800</x:v>
      </x:c>
      <x:c r="M546" s="37" t="n">
        <x:f>ROUND(E546*G546,2)</x:f>
        <x:v>7800</x:v>
      </x:c>
      <x:c r="N546" s="37" t="n">
        <x:f>ROUND(E546*I546,2)</x:f>
        <x:v>7800</x:v>
      </x:c>
      <x:c r="O546" s="18" t="str">
        <x:v>Employer contribution allowance. Includes part-time seats13/14 voluntarily; insurer/eligibility must confirm.</x:v>
      </x:c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ht="48" customHeight="1">
      <x:c r="A547" s="1" t="str">
        <x:v>STA-07-DENT</x:v>
      </x:c>
      <x:c r="B547" s="1" t="str">
        <x:v>Staff</x:v>
      </x:c>
      <x:c r="C547" s="18" t="str">
        <x:v>Employee 07 | Assistant teacher 02 | dental</x:v>
      </x:c>
      <x:c r="D547" s="18" t="str">
        <x:v>employee-year</x:v>
      </x:c>
      <x:c r="E547" s="32" t="n">
        <x:v>1</x:v>
      </x:c>
      <x:c r="F547" s="33" t="n">
        <x:v>660</x:v>
      </x:c>
      <x:c r="G547" s="33" t="n">
        <x:v>660</x:v>
      </x:c>
      <x:c r="H547" s="34" t="str">
        <x:v>recurring</x:v>
      </x:c>
      <x:c r="I547" s="33" t="n">
        <x:v>660</x:v>
      </x:c>
      <x:c r="J547" s="35" t="str">
        <x:v>Planning allowance; written quote needed</x:v>
      </x:c>
      <x:c r="K547" s="36" t="str">
        <x:v>ALLOW</x:v>
      </x:c>
      <x:c r="L547" s="37" t="n">
        <x:f>ROUND(E547*F547,2)</x:f>
        <x:v>660</x:v>
      </x:c>
      <x:c r="M547" s="37" t="n">
        <x:f>ROUND(E547*G547,2)</x:f>
        <x:v>660</x:v>
      </x:c>
      <x:c r="N547" s="37" t="n">
        <x:f>ROUND(E547*I547,2)</x:f>
        <x:v>660</x:v>
      </x:c>
      <x:c r="O547" s="18" t="str">
        <x:v>Employer contribution allowance. Includes part-time seats13/14 voluntarily; insurer/eligibility must confirm.</x:v>
      </x:c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ht="48" customHeight="1">
      <x:c r="A548" s="1" t="str">
        <x:v>STA-07-VISION</x:v>
      </x:c>
      <x:c r="B548" s="1" t="str">
        <x:v>Staff</x:v>
      </x:c>
      <x:c r="C548" s="18" t="str">
        <x:v>Employee 07 | Assistant teacher 02 | vision</x:v>
      </x:c>
      <x:c r="D548" s="18" t="str">
        <x:v>employee-year</x:v>
      </x:c>
      <x:c r="E548" s="32" t="n">
        <x:v>1</x:v>
      </x:c>
      <x:c r="F548" s="33" t="n">
        <x:v>240</x:v>
      </x:c>
      <x:c r="G548" s="33" t="n">
        <x:v>240</x:v>
      </x:c>
      <x:c r="H548" s="34" t="str">
        <x:v>recurring</x:v>
      </x:c>
      <x:c r="I548" s="33" t="n">
        <x:v>240</x:v>
      </x:c>
      <x:c r="J548" s="35" t="str">
        <x:v>Planning allowance; written quote needed</x:v>
      </x:c>
      <x:c r="K548" s="36" t="str">
        <x:v>ALLOW</x:v>
      </x:c>
      <x:c r="L548" s="37" t="n">
        <x:f>ROUND(E548*F548,2)</x:f>
        <x:v>240</x:v>
      </x:c>
      <x:c r="M548" s="37" t="n">
        <x:f>ROUND(E548*G548,2)</x:f>
        <x:v>240</x:v>
      </x:c>
      <x:c r="N548" s="37" t="n">
        <x:f>ROUND(E548*I548,2)</x:f>
        <x:v>240</x:v>
      </x:c>
      <x:c r="O548" s="18" t="str">
        <x:v>Employer contribution allowance. Includes part-time seats13/14 voluntarily; insurer/eligibility must confirm.</x:v>
      </x:c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ht="48" customHeight="1">
      <x:c r="A549" s="1" t="str">
        <x:v>STA-08-WAGE</x:v>
      </x:c>
      <x:c r="B549" s="1" t="str">
        <x:v>Staff</x:v>
      </x:c>
      <x:c r="C549" s="18" t="str">
        <x:v>Employee 08 | Assistant teacher 03 | wages</x:v>
      </x:c>
      <x:c r="D549" s="18" t="str">
        <x:v>paid hour</x:v>
      </x:c>
      <x:c r="E549" s="32" t="n">
        <x:v>2080</x:v>
      </x:c>
      <x:c r="F549" s="33" t="n">
        <x:v>15.27</x:v>
      </x:c>
      <x:c r="G549" s="33" t="n">
        <x:v>17.08</x:v>
      </x:c>
      <x:c r="H549" s="34" t="str">
        <x:v>recurring</x:v>
      </x:c>
      <x:c r="I549" s="33" t="n">
        <x:v>20.496</x:v>
      </x:c>
      <x:c r="J549" s="35" t="str">
        <x:v>Local 75th percentile wage benchmark</x:v>
      </x:c>
      <x:c r="K549" s="36" t="str">
        <x:v>CARE</x:v>
      </x:c>
      <x:c r="L549" s="37" t="n">
        <x:f>ROUND(E549*F549,2)</x:f>
        <x:v>31761.6</x:v>
      </x:c>
      <x:c r="M549" s="37" t="n">
        <x:f>ROUND(E549*G549,2)</x:f>
        <x:v>35526.4</x:v>
      </x:c>
      <x:c r="N549" s="37" t="n">
        <x:f>ROUND(E549*I549,2)</x:f>
        <x:v>42631.68</x:v>
      </x:c>
      <x:c r="O549" s="18" t="str">
        <x:v>40h/week max; PTO/training within paid hours. Wage high=20% above base, sensitivity not observed percentile.</x:v>
      </x:c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ht="48" customHeight="1">
      <x:c r="A550" s="1" t="str">
        <x:v>STA-08-SS</x:v>
      </x:c>
      <x:c r="B550" s="1" t="str">
        <x:v>Staff</x:v>
      </x:c>
      <x:c r="C550" s="18" t="str">
        <x:v>Employee 08 | Assistant teacher 03 | employer Social Security</x:v>
      </x:c>
      <x:c r="D550" s="18" t="str">
        <x:v>employee-year</x:v>
      </x:c>
      <x:c r="E550" s="32" t="n">
        <x:v>1</x:v>
      </x:c>
      <x:c r="F550" s="38" t="n">
        <x:f>ROUND(MIN(L549,184500)*0.062,2)</x:f>
        <x:v>1969.22</x:v>
      </x:c>
      <x:c r="G550" s="38" t="n">
        <x:f>ROUND(MIN(M549,184500)*0.062,2)</x:f>
        <x:v>2202.64</x:v>
      </x:c>
      <x:c r="H550" s="34" t="str">
        <x:v>recurring</x:v>
      </x:c>
      <x:c r="I550" s="38" t="n">
        <x:f>ROUND(MIN(N549,184500)*0.062,2)</x:f>
        <x:v>2643.16</x:v>
      </x:c>
      <x:c r="J550" s="35" t="str">
        <x:v>Published rate × assumed quantity</x:v>
      </x:c>
      <x:c r="K550" s="36" t="str">
        <x:v>IRS</x:v>
      </x:c>
      <x:c r="L550" s="37" t="n">
        <x:f>ROUND(E550*F550,2)</x:f>
        <x:v>1969.22</x:v>
      </x:c>
      <x:c r="M550" s="37" t="n">
        <x:f>ROUND(E550*G550,2)</x:f>
        <x:v>2202.64</x:v>
      </x:c>
      <x:c r="N550" s="37" t="n">
        <x:f>ROUND(E550*I550,2)</x:f>
        <x:v>2643.16</x:v>
      </x:c>
      <x:c r="O550" s="18" t="str">
        <x:v>Rate 6.2000%; cap $184,500. WC 2% and retirement3% allowances.</x:v>
      </x:c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ht="48" customHeight="1">
      <x:c r="A551" s="1" t="str">
        <x:v>STA-08-MED</x:v>
      </x:c>
      <x:c r="B551" s="1" t="str">
        <x:v>Staff</x:v>
      </x:c>
      <x:c r="C551" s="18" t="str">
        <x:v>Employee 08 | Assistant teacher 03 | employer Medicare</x:v>
      </x:c>
      <x:c r="D551" s="18" t="str">
        <x:v>employee-year</x:v>
      </x:c>
      <x:c r="E551" s="32" t="n">
        <x:v>1</x:v>
      </x:c>
      <x:c r="F551" s="38" t="n">
        <x:f>ROUND(L549*0.0145,2)</x:f>
        <x:v>460.54</x:v>
      </x:c>
      <x:c r="G551" s="38" t="n">
        <x:f>ROUND(M549*0.0145,2)</x:f>
        <x:v>515.13</x:v>
      </x:c>
      <x:c r="H551" s="34" t="str">
        <x:v>recurring</x:v>
      </x:c>
      <x:c r="I551" s="38" t="n">
        <x:f>ROUND(N549*0.0145,2)</x:f>
        <x:v>618.16</x:v>
      </x:c>
      <x:c r="J551" s="35" t="str">
        <x:v>Published rate × assumed quantity</x:v>
      </x:c>
      <x:c r="K551" s="36" t="str">
        <x:v>IRS</x:v>
      </x:c>
      <x:c r="L551" s="37" t="n">
        <x:f>ROUND(E551*F551,2)</x:f>
        <x:v>460.54</x:v>
      </x:c>
      <x:c r="M551" s="37" t="n">
        <x:f>ROUND(E551*G551,2)</x:f>
        <x:v>515.13</x:v>
      </x:c>
      <x:c r="N551" s="37" t="n">
        <x:f>ROUND(E551*I551,2)</x:f>
        <x:v>618.16</x:v>
      </x:c>
      <x:c r="O551" s="18" t="str">
        <x:v>Rate 1.4500%; Applied to modeled wages. WC 2% and retirement3% allowances.</x:v>
      </x:c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ht="48" customHeight="1">
      <x:c r="A552" s="1" t="str">
        <x:v>STA-08-FUTA</x:v>
      </x:c>
      <x:c r="B552" s="1" t="str">
        <x:v>Staff</x:v>
      </x:c>
      <x:c r="C552" s="18" t="str">
        <x:v>Employee 08 | Assistant teacher 03 | employer FUTA</x:v>
      </x:c>
      <x:c r="D552" s="18" t="str">
        <x:v>employee-year</x:v>
      </x:c>
      <x:c r="E552" s="32" t="n">
        <x:v>1</x:v>
      </x:c>
      <x:c r="F552" s="38" t="n">
        <x:f>ROUND(MIN(L549,7000)*0.006,2)</x:f>
        <x:v>42</x:v>
      </x:c>
      <x:c r="G552" s="38" t="n">
        <x:f>ROUND(MIN(M549,7000)*0.006,2)</x:f>
        <x:v>42</x:v>
      </x:c>
      <x:c r="H552" s="34" t="str">
        <x:v>recurring</x:v>
      </x:c>
      <x:c r="I552" s="38" t="n">
        <x:f>ROUND(MIN(N549,7000)*0.006,2)</x:f>
        <x:v>42</x:v>
      </x:c>
      <x:c r="J552" s="35" t="str">
        <x:v>Published rate × assumed quantity</x:v>
      </x:c>
      <x:c r="K552" s="36" t="str">
        <x:v>FUTA</x:v>
      </x:c>
      <x:c r="L552" s="37" t="n">
        <x:f>ROUND(E552*F552,2)</x:f>
        <x:v>42</x:v>
      </x:c>
      <x:c r="M552" s="37" t="n">
        <x:f>ROUND(E552*G552,2)</x:f>
        <x:v>42</x:v>
      </x:c>
      <x:c r="N552" s="37" t="n">
        <x:f>ROUND(E552*I552,2)</x:f>
        <x:v>42</x:v>
      </x:c>
      <x:c r="O552" s="18" t="str">
        <x:v>Rate 0.6000%; cap $7,000. WC 2% and retirement3% allowances.</x:v>
      </x:c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ht="48" customHeight="1">
      <x:c r="A553" s="1" t="str">
        <x:v>STA-08-UI</x:v>
      </x:c>
      <x:c r="B553" s="1" t="str">
        <x:v>Staff</x:v>
      </x:c>
      <x:c r="C553" s="18" t="str">
        <x:v>Employee 08 | Assistant teacher 03 | employer Missouri unemployment</x:v>
      </x:c>
      <x:c r="D553" s="18" t="str">
        <x:v>employee-year</x:v>
      </x:c>
      <x:c r="E553" s="32" t="n">
        <x:v>1</x:v>
      </x:c>
      <x:c r="F553" s="38" t="n">
        <x:f>ROUND(MIN(L549,9000)*0.02376,2)</x:f>
        <x:v>213.84</x:v>
      </x:c>
      <x:c r="G553" s="38" t="n">
        <x:f>ROUND(MIN(M549,9000)*0.02376,2)</x:f>
        <x:v>213.84</x:v>
      </x:c>
      <x:c r="H553" s="34" t="str">
        <x:v>recurring</x:v>
      </x:c>
      <x:c r="I553" s="38" t="n">
        <x:f>ROUND(MIN(N549,9000)*0.02376,2)</x:f>
        <x:v>213.84</x:v>
      </x:c>
      <x:c r="J553" s="35" t="str">
        <x:v>Published rate × assumed quantity</x:v>
      </x:c>
      <x:c r="K553" s="36" t="str">
        <x:v>MOUI</x:v>
      </x:c>
      <x:c r="L553" s="37" t="n">
        <x:f>ROUND(E553*F553,2)</x:f>
        <x:v>213.84</x:v>
      </x:c>
      <x:c r="M553" s="37" t="n">
        <x:f>ROUND(E553*G553,2)</x:f>
        <x:v>213.84</x:v>
      </x:c>
      <x:c r="N553" s="37" t="n">
        <x:f>ROUND(E553*I553,2)</x:f>
        <x:v>213.84</x:v>
      </x:c>
      <x:c r="O553" s="18" t="str">
        <x:v>Rate 2.3760%; cap $9,000. WC 2% and retirement3% allowances.</x:v>
      </x:c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ht="48" customHeight="1">
      <x:c r="A554" s="1" t="str">
        <x:v>STA-08-WC</x:v>
      </x:c>
      <x:c r="B554" s="1" t="str">
        <x:v>Staff</x:v>
      </x:c>
      <x:c r="C554" s="18" t="str">
        <x:v>Employee 08 | Assistant teacher 03 | employer workers compensation</x:v>
      </x:c>
      <x:c r="D554" s="18" t="str">
        <x:v>employee-year</x:v>
      </x:c>
      <x:c r="E554" s="32" t="n">
        <x:v>1</x:v>
      </x:c>
      <x:c r="F554" s="38" t="n">
        <x:f>ROUND(L549*0.02,2)</x:f>
        <x:v>635.23</x:v>
      </x:c>
      <x:c r="G554" s="38" t="n">
        <x:f>ROUND(M549*0.02,2)</x:f>
        <x:v>710.53</x:v>
      </x:c>
      <x:c r="H554" s="34" t="str">
        <x:v>recurring</x:v>
      </x:c>
      <x:c r="I554" s="38" t="n">
        <x:f>ROUND(N549*0.02,2)</x:f>
        <x:v>852.63</x:v>
      </x:c>
      <x:c r="J554" s="35" t="str">
        <x:v>Planning allowance; written quote needed</x:v>
      </x:c>
      <x:c r="K554" s="36" t="str">
        <x:v>ALLOW</x:v>
      </x:c>
      <x:c r="L554" s="37" t="n">
        <x:f>ROUND(E554*F554,2)</x:f>
        <x:v>635.23</x:v>
      </x:c>
      <x:c r="M554" s="37" t="n">
        <x:f>ROUND(E554*G554,2)</x:f>
        <x:v>710.53</x:v>
      </x:c>
      <x:c r="N554" s="37" t="n">
        <x:f>ROUND(E554*I554,2)</x:f>
        <x:v>852.63</x:v>
      </x:c>
      <x:c r="O554" s="18" t="str">
        <x:v>Rate 2.0000%; Applied to modeled wages. WC 2% and retirement3% allowances.</x:v>
      </x:c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ht="48" customHeight="1">
      <x:c r="A555" s="1" t="str">
        <x:v>STA-08-RET</x:v>
      </x:c>
      <x:c r="B555" s="1" t="str">
        <x:v>Staff</x:v>
      </x:c>
      <x:c r="C555" s="18" t="str">
        <x:v>Employee 08 | Assistant teacher 03 | employer retirement match</x:v>
      </x:c>
      <x:c r="D555" s="18" t="str">
        <x:v>employee-year</x:v>
      </x:c>
      <x:c r="E555" s="32" t="n">
        <x:v>1</x:v>
      </x:c>
      <x:c r="F555" s="38" t="n">
        <x:f>ROUND(L549*0.03,2)</x:f>
        <x:v>952.85</x:v>
      </x:c>
      <x:c r="G555" s="38" t="n">
        <x:f>ROUND(M549*0.03,2)</x:f>
        <x:v>1065.79</x:v>
      </x:c>
      <x:c r="H555" s="34" t="str">
        <x:v>recurring</x:v>
      </x:c>
      <x:c r="I555" s="38" t="n">
        <x:f>ROUND(N549*0.03,2)</x:f>
        <x:v>1278.95</x:v>
      </x:c>
      <x:c r="J555" s="35" t="str">
        <x:v>Planning allowance; written quote needed</x:v>
      </x:c>
      <x:c r="K555" s="36" t="str">
        <x:v>ALLOW</x:v>
      </x:c>
      <x:c r="L555" s="37" t="n">
        <x:f>ROUND(E555*F555,2)</x:f>
        <x:v>952.85</x:v>
      </x:c>
      <x:c r="M555" s="37" t="n">
        <x:f>ROUND(E555*G555,2)</x:f>
        <x:v>1065.79</x:v>
      </x:c>
      <x:c r="N555" s="37" t="n">
        <x:f>ROUND(E555*I555,2)</x:f>
        <x:v>1278.95</x:v>
      </x:c>
      <x:c r="O555" s="18" t="str">
        <x:v>Rate 3.0000%; Applied to modeled wages. WC 2% and retirement3% allowances.</x:v>
      </x:c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ht="48" customHeight="1">
      <x:c r="A556" s="1" t="str">
        <x:v>STA-08-HEALTH</x:v>
      </x:c>
      <x:c r="B556" s="1" t="str">
        <x:v>Staff</x:v>
      </x:c>
      <x:c r="C556" s="18" t="str">
        <x:v>Employee 08 | Assistant teacher 03 | health coverage</x:v>
      </x:c>
      <x:c r="D556" s="18" t="str">
        <x:v>employee-year</x:v>
      </x:c>
      <x:c r="E556" s="32" t="n">
        <x:v>1</x:v>
      </x:c>
      <x:c r="F556" s="33" t="n">
        <x:v>7800</x:v>
      </x:c>
      <x:c r="G556" s="33" t="n">
        <x:v>7800</x:v>
      </x:c>
      <x:c r="H556" s="34" t="str">
        <x:v>recurring</x:v>
      </x:c>
      <x:c r="I556" s="33" t="n">
        <x:v>7800</x:v>
      </x:c>
      <x:c r="J556" s="35" t="str">
        <x:v>Planning allowance; written quote needed</x:v>
      </x:c>
      <x:c r="K556" s="36" t="str">
        <x:v>ALLOW</x:v>
      </x:c>
      <x:c r="L556" s="37" t="n">
        <x:f>ROUND(E556*F556,2)</x:f>
        <x:v>7800</x:v>
      </x:c>
      <x:c r="M556" s="37" t="n">
        <x:f>ROUND(E556*G556,2)</x:f>
        <x:v>7800</x:v>
      </x:c>
      <x:c r="N556" s="37" t="n">
        <x:f>ROUND(E556*I556,2)</x:f>
        <x:v>7800</x:v>
      </x:c>
      <x:c r="O556" s="18" t="str">
        <x:v>Employer contribution allowance. Includes part-time seats13/14 voluntarily; insurer/eligibility must confirm.</x:v>
      </x:c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ht="48" customHeight="1">
      <x:c r="A557" s="1" t="str">
        <x:v>STA-08-DENT</x:v>
      </x:c>
      <x:c r="B557" s="1" t="str">
        <x:v>Staff</x:v>
      </x:c>
      <x:c r="C557" s="18" t="str">
        <x:v>Employee 08 | Assistant teacher 03 | dental</x:v>
      </x:c>
      <x:c r="D557" s="18" t="str">
        <x:v>employee-year</x:v>
      </x:c>
      <x:c r="E557" s="32" t="n">
        <x:v>1</x:v>
      </x:c>
      <x:c r="F557" s="33" t="n">
        <x:v>660</x:v>
      </x:c>
      <x:c r="G557" s="33" t="n">
        <x:v>660</x:v>
      </x:c>
      <x:c r="H557" s="34" t="str">
        <x:v>recurring</x:v>
      </x:c>
      <x:c r="I557" s="33" t="n">
        <x:v>660</x:v>
      </x:c>
      <x:c r="J557" s="35" t="str">
        <x:v>Planning allowance; written quote needed</x:v>
      </x:c>
      <x:c r="K557" s="36" t="str">
        <x:v>ALLOW</x:v>
      </x:c>
      <x:c r="L557" s="37" t="n">
        <x:f>ROUND(E557*F557,2)</x:f>
        <x:v>660</x:v>
      </x:c>
      <x:c r="M557" s="37" t="n">
        <x:f>ROUND(E557*G557,2)</x:f>
        <x:v>660</x:v>
      </x:c>
      <x:c r="N557" s="37" t="n">
        <x:f>ROUND(E557*I557,2)</x:f>
        <x:v>660</x:v>
      </x:c>
      <x:c r="O557" s="18" t="str">
        <x:v>Employer contribution allowance. Includes part-time seats13/14 voluntarily; insurer/eligibility must confirm.</x:v>
      </x:c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ht="48" customHeight="1">
      <x:c r="A558" s="1" t="str">
        <x:v>STA-08-VISION</x:v>
      </x:c>
      <x:c r="B558" s="1" t="str">
        <x:v>Staff</x:v>
      </x:c>
      <x:c r="C558" s="18" t="str">
        <x:v>Employee 08 | Assistant teacher 03 | vision</x:v>
      </x:c>
      <x:c r="D558" s="18" t="str">
        <x:v>employee-year</x:v>
      </x:c>
      <x:c r="E558" s="32" t="n">
        <x:v>1</x:v>
      </x:c>
      <x:c r="F558" s="33" t="n">
        <x:v>240</x:v>
      </x:c>
      <x:c r="G558" s="33" t="n">
        <x:v>240</x:v>
      </x:c>
      <x:c r="H558" s="34" t="str">
        <x:v>recurring</x:v>
      </x:c>
      <x:c r="I558" s="33" t="n">
        <x:v>240</x:v>
      </x:c>
      <x:c r="J558" s="35" t="str">
        <x:v>Planning allowance; written quote needed</x:v>
      </x:c>
      <x:c r="K558" s="36" t="str">
        <x:v>ALLOW</x:v>
      </x:c>
      <x:c r="L558" s="37" t="n">
        <x:f>ROUND(E558*F558,2)</x:f>
        <x:v>240</x:v>
      </x:c>
      <x:c r="M558" s="37" t="n">
        <x:f>ROUND(E558*G558,2)</x:f>
        <x:v>240</x:v>
      </x:c>
      <x:c r="N558" s="37" t="n">
        <x:f>ROUND(E558*I558,2)</x:f>
        <x:v>240</x:v>
      </x:c>
      <x:c r="O558" s="18" t="str">
        <x:v>Employer contribution allowance. Includes part-time seats13/14 voluntarily; insurer/eligibility must confirm.</x:v>
      </x:c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ht="48" customHeight="1">
      <x:c r="A559" s="1" t="str">
        <x:v>STA-09-WAGE</x:v>
      </x:c>
      <x:c r="B559" s="1" t="str">
        <x:v>Staff</x:v>
      </x:c>
      <x:c r="C559" s="18" t="str">
        <x:v>Employee 09 | Assistant teacher 04 | wages</x:v>
      </x:c>
      <x:c r="D559" s="18" t="str">
        <x:v>paid hour</x:v>
      </x:c>
      <x:c r="E559" s="32" t="n">
        <x:v>2080</x:v>
      </x:c>
      <x:c r="F559" s="33" t="n">
        <x:v>15.27</x:v>
      </x:c>
      <x:c r="G559" s="33" t="n">
        <x:v>17.08</x:v>
      </x:c>
      <x:c r="H559" s="34" t="str">
        <x:v>recurring</x:v>
      </x:c>
      <x:c r="I559" s="33" t="n">
        <x:v>20.496</x:v>
      </x:c>
      <x:c r="J559" s="35" t="str">
        <x:v>Local 75th percentile wage benchmark</x:v>
      </x:c>
      <x:c r="K559" s="36" t="str">
        <x:v>CARE</x:v>
      </x:c>
      <x:c r="L559" s="37" t="n">
        <x:f>ROUND(E559*F559,2)</x:f>
        <x:v>31761.6</x:v>
      </x:c>
      <x:c r="M559" s="37" t="n">
        <x:f>ROUND(E559*G559,2)</x:f>
        <x:v>35526.4</x:v>
      </x:c>
      <x:c r="N559" s="37" t="n">
        <x:f>ROUND(E559*I559,2)</x:f>
        <x:v>42631.68</x:v>
      </x:c>
      <x:c r="O559" s="18" t="str">
        <x:v>40h/week max; PTO/training within paid hours. Wage high=20% above base, sensitivity not observed percentile.</x:v>
      </x:c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ht="48" customHeight="1">
      <x:c r="A560" s="1" t="str">
        <x:v>STA-09-SS</x:v>
      </x:c>
      <x:c r="B560" s="1" t="str">
        <x:v>Staff</x:v>
      </x:c>
      <x:c r="C560" s="18" t="str">
        <x:v>Employee 09 | Assistant teacher 04 | employer Social Security</x:v>
      </x:c>
      <x:c r="D560" s="18" t="str">
        <x:v>employee-year</x:v>
      </x:c>
      <x:c r="E560" s="32" t="n">
        <x:v>1</x:v>
      </x:c>
      <x:c r="F560" s="38" t="n">
        <x:f>ROUND(MIN(L559,184500)*0.062,2)</x:f>
        <x:v>1969.22</x:v>
      </x:c>
      <x:c r="G560" s="38" t="n">
        <x:f>ROUND(MIN(M559,184500)*0.062,2)</x:f>
        <x:v>2202.64</x:v>
      </x:c>
      <x:c r="H560" s="34" t="str">
        <x:v>recurring</x:v>
      </x:c>
      <x:c r="I560" s="38" t="n">
        <x:f>ROUND(MIN(N559,184500)*0.062,2)</x:f>
        <x:v>2643.16</x:v>
      </x:c>
      <x:c r="J560" s="35" t="str">
        <x:v>Published rate × assumed quantity</x:v>
      </x:c>
      <x:c r="K560" s="36" t="str">
        <x:v>IRS</x:v>
      </x:c>
      <x:c r="L560" s="37" t="n">
        <x:f>ROUND(E560*F560,2)</x:f>
        <x:v>1969.22</x:v>
      </x:c>
      <x:c r="M560" s="37" t="n">
        <x:f>ROUND(E560*G560,2)</x:f>
        <x:v>2202.64</x:v>
      </x:c>
      <x:c r="N560" s="37" t="n">
        <x:f>ROUND(E560*I560,2)</x:f>
        <x:v>2643.16</x:v>
      </x:c>
      <x:c r="O560" s="18" t="str">
        <x:v>Rate 6.2000%; cap $184,500. WC 2% and retirement3% allowances.</x:v>
      </x:c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ht="48" customHeight="1">
      <x:c r="A561" s="1" t="str">
        <x:v>STA-09-MED</x:v>
      </x:c>
      <x:c r="B561" s="1" t="str">
        <x:v>Staff</x:v>
      </x:c>
      <x:c r="C561" s="18" t="str">
        <x:v>Employee 09 | Assistant teacher 04 | employer Medicare</x:v>
      </x:c>
      <x:c r="D561" s="18" t="str">
        <x:v>employee-year</x:v>
      </x:c>
      <x:c r="E561" s="32" t="n">
        <x:v>1</x:v>
      </x:c>
      <x:c r="F561" s="38" t="n">
        <x:f>ROUND(L559*0.0145,2)</x:f>
        <x:v>460.54</x:v>
      </x:c>
      <x:c r="G561" s="38" t="n">
        <x:f>ROUND(M559*0.0145,2)</x:f>
        <x:v>515.13</x:v>
      </x:c>
      <x:c r="H561" s="34" t="str">
        <x:v>recurring</x:v>
      </x:c>
      <x:c r="I561" s="38" t="n">
        <x:f>ROUND(N559*0.0145,2)</x:f>
        <x:v>618.16</x:v>
      </x:c>
      <x:c r="J561" s="35" t="str">
        <x:v>Published rate × assumed quantity</x:v>
      </x:c>
      <x:c r="K561" s="36" t="str">
        <x:v>IRS</x:v>
      </x:c>
      <x:c r="L561" s="37" t="n">
        <x:f>ROUND(E561*F561,2)</x:f>
        <x:v>460.54</x:v>
      </x:c>
      <x:c r="M561" s="37" t="n">
        <x:f>ROUND(E561*G561,2)</x:f>
        <x:v>515.13</x:v>
      </x:c>
      <x:c r="N561" s="37" t="n">
        <x:f>ROUND(E561*I561,2)</x:f>
        <x:v>618.16</x:v>
      </x:c>
      <x:c r="O561" s="18" t="str">
        <x:v>Rate 1.4500%; Applied to modeled wages. WC 2% and retirement3% allowances.</x:v>
      </x:c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ht="48" customHeight="1">
      <x:c r="A562" s="1" t="str">
        <x:v>STA-09-FUTA</x:v>
      </x:c>
      <x:c r="B562" s="1" t="str">
        <x:v>Staff</x:v>
      </x:c>
      <x:c r="C562" s="18" t="str">
        <x:v>Employee 09 | Assistant teacher 04 | employer FUTA</x:v>
      </x:c>
      <x:c r="D562" s="18" t="str">
        <x:v>employee-year</x:v>
      </x:c>
      <x:c r="E562" s="32" t="n">
        <x:v>1</x:v>
      </x:c>
      <x:c r="F562" s="38" t="n">
        <x:f>ROUND(MIN(L559,7000)*0.006,2)</x:f>
        <x:v>42</x:v>
      </x:c>
      <x:c r="G562" s="38" t="n">
        <x:f>ROUND(MIN(M559,7000)*0.006,2)</x:f>
        <x:v>42</x:v>
      </x:c>
      <x:c r="H562" s="34" t="str">
        <x:v>recurring</x:v>
      </x:c>
      <x:c r="I562" s="38" t="n">
        <x:f>ROUND(MIN(N559,7000)*0.006,2)</x:f>
        <x:v>42</x:v>
      </x:c>
      <x:c r="J562" s="35" t="str">
        <x:v>Published rate × assumed quantity</x:v>
      </x:c>
      <x:c r="K562" s="36" t="str">
        <x:v>FUTA</x:v>
      </x:c>
      <x:c r="L562" s="37" t="n">
        <x:f>ROUND(E562*F562,2)</x:f>
        <x:v>42</x:v>
      </x:c>
      <x:c r="M562" s="37" t="n">
        <x:f>ROUND(E562*G562,2)</x:f>
        <x:v>42</x:v>
      </x:c>
      <x:c r="N562" s="37" t="n">
        <x:f>ROUND(E562*I562,2)</x:f>
        <x:v>42</x:v>
      </x:c>
      <x:c r="O562" s="18" t="str">
        <x:v>Rate 0.6000%; cap $7,000. WC 2% and retirement3% allowances.</x:v>
      </x:c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ht="48" customHeight="1">
      <x:c r="A563" s="1" t="str">
        <x:v>STA-09-UI</x:v>
      </x:c>
      <x:c r="B563" s="1" t="str">
        <x:v>Staff</x:v>
      </x:c>
      <x:c r="C563" s="18" t="str">
        <x:v>Employee 09 | Assistant teacher 04 | employer Missouri unemployment</x:v>
      </x:c>
      <x:c r="D563" s="18" t="str">
        <x:v>employee-year</x:v>
      </x:c>
      <x:c r="E563" s="32" t="n">
        <x:v>1</x:v>
      </x:c>
      <x:c r="F563" s="38" t="n">
        <x:f>ROUND(MIN(L559,9000)*0.02376,2)</x:f>
        <x:v>213.84</x:v>
      </x:c>
      <x:c r="G563" s="38" t="n">
        <x:f>ROUND(MIN(M559,9000)*0.02376,2)</x:f>
        <x:v>213.84</x:v>
      </x:c>
      <x:c r="H563" s="34" t="str">
        <x:v>recurring</x:v>
      </x:c>
      <x:c r="I563" s="38" t="n">
        <x:f>ROUND(MIN(N559,9000)*0.02376,2)</x:f>
        <x:v>213.84</x:v>
      </x:c>
      <x:c r="J563" s="35" t="str">
        <x:v>Published rate × assumed quantity</x:v>
      </x:c>
      <x:c r="K563" s="36" t="str">
        <x:v>MOUI</x:v>
      </x:c>
      <x:c r="L563" s="37" t="n">
        <x:f>ROUND(E563*F563,2)</x:f>
        <x:v>213.84</x:v>
      </x:c>
      <x:c r="M563" s="37" t="n">
        <x:f>ROUND(E563*G563,2)</x:f>
        <x:v>213.84</x:v>
      </x:c>
      <x:c r="N563" s="37" t="n">
        <x:f>ROUND(E563*I563,2)</x:f>
        <x:v>213.84</x:v>
      </x:c>
      <x:c r="O563" s="18" t="str">
        <x:v>Rate 2.3760%; cap $9,000. WC 2% and retirement3% allowances.</x:v>
      </x:c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ht="48" customHeight="1">
      <x:c r="A564" s="1" t="str">
        <x:v>STA-09-WC</x:v>
      </x:c>
      <x:c r="B564" s="1" t="str">
        <x:v>Staff</x:v>
      </x:c>
      <x:c r="C564" s="18" t="str">
        <x:v>Employee 09 | Assistant teacher 04 | employer workers compensation</x:v>
      </x:c>
      <x:c r="D564" s="18" t="str">
        <x:v>employee-year</x:v>
      </x:c>
      <x:c r="E564" s="32" t="n">
        <x:v>1</x:v>
      </x:c>
      <x:c r="F564" s="38" t="n">
        <x:f>ROUND(L559*0.02,2)</x:f>
        <x:v>635.23</x:v>
      </x:c>
      <x:c r="G564" s="38" t="n">
        <x:f>ROUND(M559*0.02,2)</x:f>
        <x:v>710.53</x:v>
      </x:c>
      <x:c r="H564" s="34" t="str">
        <x:v>recurring</x:v>
      </x:c>
      <x:c r="I564" s="38" t="n">
        <x:f>ROUND(N559*0.02,2)</x:f>
        <x:v>852.63</x:v>
      </x:c>
      <x:c r="J564" s="35" t="str">
        <x:v>Planning allowance; written quote needed</x:v>
      </x:c>
      <x:c r="K564" s="36" t="str">
        <x:v>ALLOW</x:v>
      </x:c>
      <x:c r="L564" s="37" t="n">
        <x:f>ROUND(E564*F564,2)</x:f>
        <x:v>635.23</x:v>
      </x:c>
      <x:c r="M564" s="37" t="n">
        <x:f>ROUND(E564*G564,2)</x:f>
        <x:v>710.53</x:v>
      </x:c>
      <x:c r="N564" s="37" t="n">
        <x:f>ROUND(E564*I564,2)</x:f>
        <x:v>852.63</x:v>
      </x:c>
      <x:c r="O564" s="18" t="str">
        <x:v>Rate 2.0000%; Applied to modeled wages. WC 2% and retirement3% allowances.</x:v>
      </x:c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ht="48" customHeight="1">
      <x:c r="A565" s="1" t="str">
        <x:v>STA-09-RET</x:v>
      </x:c>
      <x:c r="B565" s="1" t="str">
        <x:v>Staff</x:v>
      </x:c>
      <x:c r="C565" s="18" t="str">
        <x:v>Employee 09 | Assistant teacher 04 | employer retirement match</x:v>
      </x:c>
      <x:c r="D565" s="18" t="str">
        <x:v>employee-year</x:v>
      </x:c>
      <x:c r="E565" s="32" t="n">
        <x:v>1</x:v>
      </x:c>
      <x:c r="F565" s="38" t="n">
        <x:f>ROUND(L559*0.03,2)</x:f>
        <x:v>952.85</x:v>
      </x:c>
      <x:c r="G565" s="38" t="n">
        <x:f>ROUND(M559*0.03,2)</x:f>
        <x:v>1065.79</x:v>
      </x:c>
      <x:c r="H565" s="34" t="str">
        <x:v>recurring</x:v>
      </x:c>
      <x:c r="I565" s="38" t="n">
        <x:f>ROUND(N559*0.03,2)</x:f>
        <x:v>1278.95</x:v>
      </x:c>
      <x:c r="J565" s="35" t="str">
        <x:v>Planning allowance; written quote needed</x:v>
      </x:c>
      <x:c r="K565" s="36" t="str">
        <x:v>ALLOW</x:v>
      </x:c>
      <x:c r="L565" s="37" t="n">
        <x:f>ROUND(E565*F565,2)</x:f>
        <x:v>952.85</x:v>
      </x:c>
      <x:c r="M565" s="37" t="n">
        <x:f>ROUND(E565*G565,2)</x:f>
        <x:v>1065.79</x:v>
      </x:c>
      <x:c r="N565" s="37" t="n">
        <x:f>ROUND(E565*I565,2)</x:f>
        <x:v>1278.95</x:v>
      </x:c>
      <x:c r="O565" s="18" t="str">
        <x:v>Rate 3.0000%; Applied to modeled wages. WC 2% and retirement3% allowances.</x:v>
      </x:c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ht="48" customHeight="1">
      <x:c r="A566" s="1" t="str">
        <x:v>STA-09-HEALTH</x:v>
      </x:c>
      <x:c r="B566" s="1" t="str">
        <x:v>Staff</x:v>
      </x:c>
      <x:c r="C566" s="18" t="str">
        <x:v>Employee 09 | Assistant teacher 04 | health coverage</x:v>
      </x:c>
      <x:c r="D566" s="18" t="str">
        <x:v>employee-year</x:v>
      </x:c>
      <x:c r="E566" s="32" t="n">
        <x:v>1</x:v>
      </x:c>
      <x:c r="F566" s="33" t="n">
        <x:v>7800</x:v>
      </x:c>
      <x:c r="G566" s="33" t="n">
        <x:v>7800</x:v>
      </x:c>
      <x:c r="H566" s="34" t="str">
        <x:v>recurring</x:v>
      </x:c>
      <x:c r="I566" s="33" t="n">
        <x:v>7800</x:v>
      </x:c>
      <x:c r="J566" s="35" t="str">
        <x:v>Planning allowance; written quote needed</x:v>
      </x:c>
      <x:c r="K566" s="36" t="str">
        <x:v>ALLOW</x:v>
      </x:c>
      <x:c r="L566" s="37" t="n">
        <x:f>ROUND(E566*F566,2)</x:f>
        <x:v>7800</x:v>
      </x:c>
      <x:c r="M566" s="37" t="n">
        <x:f>ROUND(E566*G566,2)</x:f>
        <x:v>7800</x:v>
      </x:c>
      <x:c r="N566" s="37" t="n">
        <x:f>ROUND(E566*I566,2)</x:f>
        <x:v>7800</x:v>
      </x:c>
      <x:c r="O566" s="18" t="str">
        <x:v>Employer contribution allowance. Includes part-time seats13/14 voluntarily; insurer/eligibility must confirm.</x:v>
      </x:c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ht="48" customHeight="1">
      <x:c r="A567" s="1" t="str">
        <x:v>STA-09-DENT</x:v>
      </x:c>
      <x:c r="B567" s="1" t="str">
        <x:v>Staff</x:v>
      </x:c>
      <x:c r="C567" s="18" t="str">
        <x:v>Employee 09 | Assistant teacher 04 | dental</x:v>
      </x:c>
      <x:c r="D567" s="18" t="str">
        <x:v>employee-year</x:v>
      </x:c>
      <x:c r="E567" s="32" t="n">
        <x:v>1</x:v>
      </x:c>
      <x:c r="F567" s="33" t="n">
        <x:v>660</x:v>
      </x:c>
      <x:c r="G567" s="33" t="n">
        <x:v>660</x:v>
      </x:c>
      <x:c r="H567" s="34" t="str">
        <x:v>recurring</x:v>
      </x:c>
      <x:c r="I567" s="33" t="n">
        <x:v>660</x:v>
      </x:c>
      <x:c r="J567" s="35" t="str">
        <x:v>Planning allowance; written quote needed</x:v>
      </x:c>
      <x:c r="K567" s="36" t="str">
        <x:v>ALLOW</x:v>
      </x:c>
      <x:c r="L567" s="37" t="n">
        <x:f>ROUND(E567*F567,2)</x:f>
        <x:v>660</x:v>
      </x:c>
      <x:c r="M567" s="37" t="n">
        <x:f>ROUND(E567*G567,2)</x:f>
        <x:v>660</x:v>
      </x:c>
      <x:c r="N567" s="37" t="n">
        <x:f>ROUND(E567*I567,2)</x:f>
        <x:v>660</x:v>
      </x:c>
      <x:c r="O567" s="18" t="str">
        <x:v>Employer contribution allowance. Includes part-time seats13/14 voluntarily; insurer/eligibility must confirm.</x:v>
      </x:c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ht="48" customHeight="1">
      <x:c r="A568" s="1" t="str">
        <x:v>STA-09-VISION</x:v>
      </x:c>
      <x:c r="B568" s="1" t="str">
        <x:v>Staff</x:v>
      </x:c>
      <x:c r="C568" s="18" t="str">
        <x:v>Employee 09 | Assistant teacher 04 | vision</x:v>
      </x:c>
      <x:c r="D568" s="18" t="str">
        <x:v>employee-year</x:v>
      </x:c>
      <x:c r="E568" s="32" t="n">
        <x:v>1</x:v>
      </x:c>
      <x:c r="F568" s="33" t="n">
        <x:v>240</x:v>
      </x:c>
      <x:c r="G568" s="33" t="n">
        <x:v>240</x:v>
      </x:c>
      <x:c r="H568" s="34" t="str">
        <x:v>recurring</x:v>
      </x:c>
      <x:c r="I568" s="33" t="n">
        <x:v>240</x:v>
      </x:c>
      <x:c r="J568" s="35" t="str">
        <x:v>Planning allowance; written quote needed</x:v>
      </x:c>
      <x:c r="K568" s="36" t="str">
        <x:v>ALLOW</x:v>
      </x:c>
      <x:c r="L568" s="37" t="n">
        <x:f>ROUND(E568*F568,2)</x:f>
        <x:v>240</x:v>
      </x:c>
      <x:c r="M568" s="37" t="n">
        <x:f>ROUND(E568*G568,2)</x:f>
        <x:v>240</x:v>
      </x:c>
      <x:c r="N568" s="37" t="n">
        <x:f>ROUND(E568*I568,2)</x:f>
        <x:v>240</x:v>
      </x:c>
      <x:c r="O568" s="18" t="str">
        <x:v>Employer contribution allowance. Includes part-time seats13/14 voluntarily; insurer/eligibility must confirm.</x:v>
      </x:c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ht="48" customHeight="1">
      <x:c r="A569" s="1" t="str">
        <x:v>STA-10-WAGE</x:v>
      </x:c>
      <x:c r="B569" s="1" t="str">
        <x:v>Staff</x:v>
      </x:c>
      <x:c r="C569" s="18" t="str">
        <x:v>Employee 10 | Float teacher 01 | wages</x:v>
      </x:c>
      <x:c r="D569" s="18" t="str">
        <x:v>paid hour</x:v>
      </x:c>
      <x:c r="E569" s="32" t="n">
        <x:v>2080</x:v>
      </x:c>
      <x:c r="F569" s="33" t="n">
        <x:v>15.27</x:v>
      </x:c>
      <x:c r="G569" s="33" t="n">
        <x:v>17.08</x:v>
      </x:c>
      <x:c r="H569" s="34" t="str">
        <x:v>recurring</x:v>
      </x:c>
      <x:c r="I569" s="33" t="n">
        <x:v>20.496</x:v>
      </x:c>
      <x:c r="J569" s="35" t="str">
        <x:v>Local 75th percentile wage benchmark</x:v>
      </x:c>
      <x:c r="K569" s="36" t="str">
        <x:v>CARE</x:v>
      </x:c>
      <x:c r="L569" s="37" t="n">
        <x:f>ROUND(E569*F569,2)</x:f>
        <x:v>31761.6</x:v>
      </x:c>
      <x:c r="M569" s="37" t="n">
        <x:f>ROUND(E569*G569,2)</x:f>
        <x:v>35526.4</x:v>
      </x:c>
      <x:c r="N569" s="37" t="n">
        <x:f>ROUND(E569*I569,2)</x:f>
        <x:v>42631.68</x:v>
      </x:c>
      <x:c r="O569" s="18" t="str">
        <x:v>40h/week max; PTO/training within paid hours. Wage high=20% above base, sensitivity not observed percentile.</x:v>
      </x:c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ht="48" customHeight="1">
      <x:c r="A570" s="1" t="str">
        <x:v>STA-10-SS</x:v>
      </x:c>
      <x:c r="B570" s="1" t="str">
        <x:v>Staff</x:v>
      </x:c>
      <x:c r="C570" s="18" t="str">
        <x:v>Employee 10 | Float teacher 01 | employer Social Security</x:v>
      </x:c>
      <x:c r="D570" s="18" t="str">
        <x:v>employee-year</x:v>
      </x:c>
      <x:c r="E570" s="32" t="n">
        <x:v>1</x:v>
      </x:c>
      <x:c r="F570" s="38" t="n">
        <x:f>ROUND(MIN(L569,184500)*0.062,2)</x:f>
        <x:v>1969.22</x:v>
      </x:c>
      <x:c r="G570" s="38" t="n">
        <x:f>ROUND(MIN(M569,184500)*0.062,2)</x:f>
        <x:v>2202.64</x:v>
      </x:c>
      <x:c r="H570" s="34" t="str">
        <x:v>recurring</x:v>
      </x:c>
      <x:c r="I570" s="38" t="n">
        <x:f>ROUND(MIN(N569,184500)*0.062,2)</x:f>
        <x:v>2643.16</x:v>
      </x:c>
      <x:c r="J570" s="35" t="str">
        <x:v>Published rate × assumed quantity</x:v>
      </x:c>
      <x:c r="K570" s="36" t="str">
        <x:v>IRS</x:v>
      </x:c>
      <x:c r="L570" s="37" t="n">
        <x:f>ROUND(E570*F570,2)</x:f>
        <x:v>1969.22</x:v>
      </x:c>
      <x:c r="M570" s="37" t="n">
        <x:f>ROUND(E570*G570,2)</x:f>
        <x:v>2202.64</x:v>
      </x:c>
      <x:c r="N570" s="37" t="n">
        <x:f>ROUND(E570*I570,2)</x:f>
        <x:v>2643.16</x:v>
      </x:c>
      <x:c r="O570" s="18" t="str">
        <x:v>Rate 6.2000%; cap $184,500. WC 2% and retirement3% allowances.</x:v>
      </x:c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ht="48" customHeight="1">
      <x:c r="A571" s="1" t="str">
        <x:v>STA-10-MED</x:v>
      </x:c>
      <x:c r="B571" s="1" t="str">
        <x:v>Staff</x:v>
      </x:c>
      <x:c r="C571" s="18" t="str">
        <x:v>Employee 10 | Float teacher 01 | employer Medicare</x:v>
      </x:c>
      <x:c r="D571" s="18" t="str">
        <x:v>employee-year</x:v>
      </x:c>
      <x:c r="E571" s="32" t="n">
        <x:v>1</x:v>
      </x:c>
      <x:c r="F571" s="38" t="n">
        <x:f>ROUND(L569*0.0145,2)</x:f>
        <x:v>460.54</x:v>
      </x:c>
      <x:c r="G571" s="38" t="n">
        <x:f>ROUND(M569*0.0145,2)</x:f>
        <x:v>515.13</x:v>
      </x:c>
      <x:c r="H571" s="34" t="str">
        <x:v>recurring</x:v>
      </x:c>
      <x:c r="I571" s="38" t="n">
        <x:f>ROUND(N569*0.0145,2)</x:f>
        <x:v>618.16</x:v>
      </x:c>
      <x:c r="J571" s="35" t="str">
        <x:v>Published rate × assumed quantity</x:v>
      </x:c>
      <x:c r="K571" s="36" t="str">
        <x:v>IRS</x:v>
      </x:c>
      <x:c r="L571" s="37" t="n">
        <x:f>ROUND(E571*F571,2)</x:f>
        <x:v>460.54</x:v>
      </x:c>
      <x:c r="M571" s="37" t="n">
        <x:f>ROUND(E571*G571,2)</x:f>
        <x:v>515.13</x:v>
      </x:c>
      <x:c r="N571" s="37" t="n">
        <x:f>ROUND(E571*I571,2)</x:f>
        <x:v>618.16</x:v>
      </x:c>
      <x:c r="O571" s="18" t="str">
        <x:v>Rate 1.4500%; Applied to modeled wages. WC 2% and retirement3% allowances.</x:v>
      </x:c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ht="48" customHeight="1">
      <x:c r="A572" s="1" t="str">
        <x:v>STA-10-FUTA</x:v>
      </x:c>
      <x:c r="B572" s="1" t="str">
        <x:v>Staff</x:v>
      </x:c>
      <x:c r="C572" s="18" t="str">
        <x:v>Employee 10 | Float teacher 01 | employer FUTA</x:v>
      </x:c>
      <x:c r="D572" s="18" t="str">
        <x:v>employee-year</x:v>
      </x:c>
      <x:c r="E572" s="32" t="n">
        <x:v>1</x:v>
      </x:c>
      <x:c r="F572" s="38" t="n">
        <x:f>ROUND(MIN(L569,7000)*0.006,2)</x:f>
        <x:v>42</x:v>
      </x:c>
      <x:c r="G572" s="38" t="n">
        <x:f>ROUND(MIN(M569,7000)*0.006,2)</x:f>
        <x:v>42</x:v>
      </x:c>
      <x:c r="H572" s="34" t="str">
        <x:v>recurring</x:v>
      </x:c>
      <x:c r="I572" s="38" t="n">
        <x:f>ROUND(MIN(N569,7000)*0.006,2)</x:f>
        <x:v>42</x:v>
      </x:c>
      <x:c r="J572" s="35" t="str">
        <x:v>Published rate × assumed quantity</x:v>
      </x:c>
      <x:c r="K572" s="36" t="str">
        <x:v>FUTA</x:v>
      </x:c>
      <x:c r="L572" s="37" t="n">
        <x:f>ROUND(E572*F572,2)</x:f>
        <x:v>42</x:v>
      </x:c>
      <x:c r="M572" s="37" t="n">
        <x:f>ROUND(E572*G572,2)</x:f>
        <x:v>42</x:v>
      </x:c>
      <x:c r="N572" s="37" t="n">
        <x:f>ROUND(E572*I572,2)</x:f>
        <x:v>42</x:v>
      </x:c>
      <x:c r="O572" s="18" t="str">
        <x:v>Rate 0.6000%; cap $7,000. WC 2% and retirement3% allowances.</x:v>
      </x:c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ht="48" customHeight="1">
      <x:c r="A573" s="1" t="str">
        <x:v>STA-10-UI</x:v>
      </x:c>
      <x:c r="B573" s="1" t="str">
        <x:v>Staff</x:v>
      </x:c>
      <x:c r="C573" s="18" t="str">
        <x:v>Employee 10 | Float teacher 01 | employer Missouri unemployment</x:v>
      </x:c>
      <x:c r="D573" s="18" t="str">
        <x:v>employee-year</x:v>
      </x:c>
      <x:c r="E573" s="32" t="n">
        <x:v>1</x:v>
      </x:c>
      <x:c r="F573" s="38" t="n">
        <x:f>ROUND(MIN(L569,9000)*0.02376,2)</x:f>
        <x:v>213.84</x:v>
      </x:c>
      <x:c r="G573" s="38" t="n">
        <x:f>ROUND(MIN(M569,9000)*0.02376,2)</x:f>
        <x:v>213.84</x:v>
      </x:c>
      <x:c r="H573" s="34" t="str">
        <x:v>recurring</x:v>
      </x:c>
      <x:c r="I573" s="38" t="n">
        <x:f>ROUND(MIN(N569,9000)*0.02376,2)</x:f>
        <x:v>213.84</x:v>
      </x:c>
      <x:c r="J573" s="35" t="str">
        <x:v>Published rate × assumed quantity</x:v>
      </x:c>
      <x:c r="K573" s="36" t="str">
        <x:v>MOUI</x:v>
      </x:c>
      <x:c r="L573" s="37" t="n">
        <x:f>ROUND(E573*F573,2)</x:f>
        <x:v>213.84</x:v>
      </x:c>
      <x:c r="M573" s="37" t="n">
        <x:f>ROUND(E573*G573,2)</x:f>
        <x:v>213.84</x:v>
      </x:c>
      <x:c r="N573" s="37" t="n">
        <x:f>ROUND(E573*I573,2)</x:f>
        <x:v>213.84</x:v>
      </x:c>
      <x:c r="O573" s="18" t="str">
        <x:v>Rate 2.3760%; cap $9,000. WC 2% and retirement3% allowances.</x:v>
      </x:c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ht="48" customHeight="1">
      <x:c r="A574" s="1" t="str">
        <x:v>STA-10-WC</x:v>
      </x:c>
      <x:c r="B574" s="1" t="str">
        <x:v>Staff</x:v>
      </x:c>
      <x:c r="C574" s="18" t="str">
        <x:v>Employee 10 | Float teacher 01 | employer workers compensation</x:v>
      </x:c>
      <x:c r="D574" s="18" t="str">
        <x:v>employee-year</x:v>
      </x:c>
      <x:c r="E574" s="32" t="n">
        <x:v>1</x:v>
      </x:c>
      <x:c r="F574" s="38" t="n">
        <x:f>ROUND(L569*0.02,2)</x:f>
        <x:v>635.23</x:v>
      </x:c>
      <x:c r="G574" s="38" t="n">
        <x:f>ROUND(M569*0.02,2)</x:f>
        <x:v>710.53</x:v>
      </x:c>
      <x:c r="H574" s="34" t="str">
        <x:v>recurring</x:v>
      </x:c>
      <x:c r="I574" s="38" t="n">
        <x:f>ROUND(N569*0.02,2)</x:f>
        <x:v>852.63</x:v>
      </x:c>
      <x:c r="J574" s="35" t="str">
        <x:v>Planning allowance; written quote needed</x:v>
      </x:c>
      <x:c r="K574" s="36" t="str">
        <x:v>ALLOW</x:v>
      </x:c>
      <x:c r="L574" s="37" t="n">
        <x:f>ROUND(E574*F574,2)</x:f>
        <x:v>635.23</x:v>
      </x:c>
      <x:c r="M574" s="37" t="n">
        <x:f>ROUND(E574*G574,2)</x:f>
        <x:v>710.53</x:v>
      </x:c>
      <x:c r="N574" s="37" t="n">
        <x:f>ROUND(E574*I574,2)</x:f>
        <x:v>852.63</x:v>
      </x:c>
      <x:c r="O574" s="18" t="str">
        <x:v>Rate 2.0000%; Applied to modeled wages. WC 2% and retirement3% allowances.</x:v>
      </x:c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ht="48" customHeight="1">
      <x:c r="A575" s="1" t="str">
        <x:v>STA-10-RET</x:v>
      </x:c>
      <x:c r="B575" s="1" t="str">
        <x:v>Staff</x:v>
      </x:c>
      <x:c r="C575" s="18" t="str">
        <x:v>Employee 10 | Float teacher 01 | employer retirement match</x:v>
      </x:c>
      <x:c r="D575" s="18" t="str">
        <x:v>employee-year</x:v>
      </x:c>
      <x:c r="E575" s="32" t="n">
        <x:v>1</x:v>
      </x:c>
      <x:c r="F575" s="38" t="n">
        <x:f>ROUND(L569*0.03,2)</x:f>
        <x:v>952.85</x:v>
      </x:c>
      <x:c r="G575" s="38" t="n">
        <x:f>ROUND(M569*0.03,2)</x:f>
        <x:v>1065.79</x:v>
      </x:c>
      <x:c r="H575" s="34" t="str">
        <x:v>recurring</x:v>
      </x:c>
      <x:c r="I575" s="38" t="n">
        <x:f>ROUND(N569*0.03,2)</x:f>
        <x:v>1278.95</x:v>
      </x:c>
      <x:c r="J575" s="35" t="str">
        <x:v>Planning allowance; written quote needed</x:v>
      </x:c>
      <x:c r="K575" s="36" t="str">
        <x:v>ALLOW</x:v>
      </x:c>
      <x:c r="L575" s="37" t="n">
        <x:f>ROUND(E575*F575,2)</x:f>
        <x:v>952.85</x:v>
      </x:c>
      <x:c r="M575" s="37" t="n">
        <x:f>ROUND(E575*G575,2)</x:f>
        <x:v>1065.79</x:v>
      </x:c>
      <x:c r="N575" s="37" t="n">
        <x:f>ROUND(E575*I575,2)</x:f>
        <x:v>1278.95</x:v>
      </x:c>
      <x:c r="O575" s="18" t="str">
        <x:v>Rate 3.0000%; Applied to modeled wages. WC 2% and retirement3% allowances.</x:v>
      </x:c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ht="48" customHeight="1">
      <x:c r="A576" s="1" t="str">
        <x:v>STA-10-HEALTH</x:v>
      </x:c>
      <x:c r="B576" s="1" t="str">
        <x:v>Staff</x:v>
      </x:c>
      <x:c r="C576" s="18" t="str">
        <x:v>Employee 10 | Float teacher 01 | health coverage</x:v>
      </x:c>
      <x:c r="D576" s="18" t="str">
        <x:v>employee-year</x:v>
      </x:c>
      <x:c r="E576" s="32" t="n">
        <x:v>1</x:v>
      </x:c>
      <x:c r="F576" s="33" t="n">
        <x:v>7800</x:v>
      </x:c>
      <x:c r="G576" s="33" t="n">
        <x:v>7800</x:v>
      </x:c>
      <x:c r="H576" s="34" t="str">
        <x:v>recurring</x:v>
      </x:c>
      <x:c r="I576" s="33" t="n">
        <x:v>7800</x:v>
      </x:c>
      <x:c r="J576" s="35" t="str">
        <x:v>Planning allowance; written quote needed</x:v>
      </x:c>
      <x:c r="K576" s="36" t="str">
        <x:v>ALLOW</x:v>
      </x:c>
      <x:c r="L576" s="37" t="n">
        <x:f>ROUND(E576*F576,2)</x:f>
        <x:v>7800</x:v>
      </x:c>
      <x:c r="M576" s="37" t="n">
        <x:f>ROUND(E576*G576,2)</x:f>
        <x:v>7800</x:v>
      </x:c>
      <x:c r="N576" s="37" t="n">
        <x:f>ROUND(E576*I576,2)</x:f>
        <x:v>7800</x:v>
      </x:c>
      <x:c r="O576" s="18" t="str">
        <x:v>Employer contribution allowance. Includes part-time seats13/14 voluntarily; insurer/eligibility must confirm.</x:v>
      </x:c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ht="48" customHeight="1">
      <x:c r="A577" s="1" t="str">
        <x:v>STA-10-DENT</x:v>
      </x:c>
      <x:c r="B577" s="1" t="str">
        <x:v>Staff</x:v>
      </x:c>
      <x:c r="C577" s="18" t="str">
        <x:v>Employee 10 | Float teacher 01 | dental</x:v>
      </x:c>
      <x:c r="D577" s="18" t="str">
        <x:v>employee-year</x:v>
      </x:c>
      <x:c r="E577" s="32" t="n">
        <x:v>1</x:v>
      </x:c>
      <x:c r="F577" s="33" t="n">
        <x:v>660</x:v>
      </x:c>
      <x:c r="G577" s="33" t="n">
        <x:v>660</x:v>
      </x:c>
      <x:c r="H577" s="34" t="str">
        <x:v>recurring</x:v>
      </x:c>
      <x:c r="I577" s="33" t="n">
        <x:v>660</x:v>
      </x:c>
      <x:c r="J577" s="35" t="str">
        <x:v>Planning allowance; written quote needed</x:v>
      </x:c>
      <x:c r="K577" s="36" t="str">
        <x:v>ALLOW</x:v>
      </x:c>
      <x:c r="L577" s="37" t="n">
        <x:f>ROUND(E577*F577,2)</x:f>
        <x:v>660</x:v>
      </x:c>
      <x:c r="M577" s="37" t="n">
        <x:f>ROUND(E577*G577,2)</x:f>
        <x:v>660</x:v>
      </x:c>
      <x:c r="N577" s="37" t="n">
        <x:f>ROUND(E577*I577,2)</x:f>
        <x:v>660</x:v>
      </x:c>
      <x:c r="O577" s="18" t="str">
        <x:v>Employer contribution allowance. Includes part-time seats13/14 voluntarily; insurer/eligibility must confirm.</x:v>
      </x:c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ht="48" customHeight="1">
      <x:c r="A578" s="1" t="str">
        <x:v>STA-10-VISION</x:v>
      </x:c>
      <x:c r="B578" s="1" t="str">
        <x:v>Staff</x:v>
      </x:c>
      <x:c r="C578" s="18" t="str">
        <x:v>Employee 10 | Float teacher 01 | vision</x:v>
      </x:c>
      <x:c r="D578" s="18" t="str">
        <x:v>employee-year</x:v>
      </x:c>
      <x:c r="E578" s="32" t="n">
        <x:v>1</x:v>
      </x:c>
      <x:c r="F578" s="33" t="n">
        <x:v>240</x:v>
      </x:c>
      <x:c r="G578" s="33" t="n">
        <x:v>240</x:v>
      </x:c>
      <x:c r="H578" s="34" t="str">
        <x:v>recurring</x:v>
      </x:c>
      <x:c r="I578" s="33" t="n">
        <x:v>240</x:v>
      </x:c>
      <x:c r="J578" s="35" t="str">
        <x:v>Planning allowance; written quote needed</x:v>
      </x:c>
      <x:c r="K578" s="36" t="str">
        <x:v>ALLOW</x:v>
      </x:c>
      <x:c r="L578" s="37" t="n">
        <x:f>ROUND(E578*F578,2)</x:f>
        <x:v>240</x:v>
      </x:c>
      <x:c r="M578" s="37" t="n">
        <x:f>ROUND(E578*G578,2)</x:f>
        <x:v>240</x:v>
      </x:c>
      <x:c r="N578" s="37" t="n">
        <x:f>ROUND(E578*I578,2)</x:f>
        <x:v>240</x:v>
      </x:c>
      <x:c r="O578" s="18" t="str">
        <x:v>Employer contribution allowance. Includes part-time seats13/14 voluntarily; insurer/eligibility must confirm.</x:v>
      </x:c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ht="48" customHeight="1">
      <x:c r="A579" s="1" t="str">
        <x:v>STA-11-WAGE</x:v>
      </x:c>
      <x:c r="B579" s="1" t="str">
        <x:v>Staff</x:v>
      </x:c>
      <x:c r="C579" s="18" t="str">
        <x:v>Employee 11 | Float teacher 02 | wages</x:v>
      </x:c>
      <x:c r="D579" s="18" t="str">
        <x:v>paid hour</x:v>
      </x:c>
      <x:c r="E579" s="32" t="n">
        <x:v>2080</x:v>
      </x:c>
      <x:c r="F579" s="33" t="n">
        <x:v>15.27</x:v>
      </x:c>
      <x:c r="G579" s="33" t="n">
        <x:v>17.08</x:v>
      </x:c>
      <x:c r="H579" s="34" t="str">
        <x:v>recurring</x:v>
      </x:c>
      <x:c r="I579" s="33" t="n">
        <x:v>20.496</x:v>
      </x:c>
      <x:c r="J579" s="35" t="str">
        <x:v>Local 75th percentile wage benchmark</x:v>
      </x:c>
      <x:c r="K579" s="36" t="str">
        <x:v>CARE</x:v>
      </x:c>
      <x:c r="L579" s="37" t="n">
        <x:f>ROUND(E579*F579,2)</x:f>
        <x:v>31761.6</x:v>
      </x:c>
      <x:c r="M579" s="37" t="n">
        <x:f>ROUND(E579*G579,2)</x:f>
        <x:v>35526.4</x:v>
      </x:c>
      <x:c r="N579" s="37" t="n">
        <x:f>ROUND(E579*I579,2)</x:f>
        <x:v>42631.68</x:v>
      </x:c>
      <x:c r="O579" s="18" t="str">
        <x:v>40h/week max; PTO/training within paid hours. Wage high=20% above base, sensitivity not observed percentile.</x:v>
      </x:c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ht="48" customHeight="1">
      <x:c r="A580" s="1" t="str">
        <x:v>STA-11-SS</x:v>
      </x:c>
      <x:c r="B580" s="1" t="str">
        <x:v>Staff</x:v>
      </x:c>
      <x:c r="C580" s="18" t="str">
        <x:v>Employee 11 | Float teacher 02 | employer Social Security</x:v>
      </x:c>
      <x:c r="D580" s="18" t="str">
        <x:v>employee-year</x:v>
      </x:c>
      <x:c r="E580" s="32" t="n">
        <x:v>1</x:v>
      </x:c>
      <x:c r="F580" s="38" t="n">
        <x:f>ROUND(MIN(L579,184500)*0.062,2)</x:f>
        <x:v>1969.22</x:v>
      </x:c>
      <x:c r="G580" s="38" t="n">
        <x:f>ROUND(MIN(M579,184500)*0.062,2)</x:f>
        <x:v>2202.64</x:v>
      </x:c>
      <x:c r="H580" s="34" t="str">
        <x:v>recurring</x:v>
      </x:c>
      <x:c r="I580" s="38" t="n">
        <x:f>ROUND(MIN(N579,184500)*0.062,2)</x:f>
        <x:v>2643.16</x:v>
      </x:c>
      <x:c r="J580" s="35" t="str">
        <x:v>Published rate × assumed quantity</x:v>
      </x:c>
      <x:c r="K580" s="36" t="str">
        <x:v>IRS</x:v>
      </x:c>
      <x:c r="L580" s="37" t="n">
        <x:f>ROUND(E580*F580,2)</x:f>
        <x:v>1969.22</x:v>
      </x:c>
      <x:c r="M580" s="37" t="n">
        <x:f>ROUND(E580*G580,2)</x:f>
        <x:v>2202.64</x:v>
      </x:c>
      <x:c r="N580" s="37" t="n">
        <x:f>ROUND(E580*I580,2)</x:f>
        <x:v>2643.16</x:v>
      </x:c>
      <x:c r="O580" s="18" t="str">
        <x:v>Rate 6.2000%; cap $184,500. WC 2% and retirement3% allowances.</x:v>
      </x:c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ht="48" customHeight="1">
      <x:c r="A581" s="1" t="str">
        <x:v>STA-11-MED</x:v>
      </x:c>
      <x:c r="B581" s="1" t="str">
        <x:v>Staff</x:v>
      </x:c>
      <x:c r="C581" s="18" t="str">
        <x:v>Employee 11 | Float teacher 02 | employer Medicare</x:v>
      </x:c>
      <x:c r="D581" s="18" t="str">
        <x:v>employee-year</x:v>
      </x:c>
      <x:c r="E581" s="32" t="n">
        <x:v>1</x:v>
      </x:c>
      <x:c r="F581" s="38" t="n">
        <x:f>ROUND(L579*0.0145,2)</x:f>
        <x:v>460.54</x:v>
      </x:c>
      <x:c r="G581" s="38" t="n">
        <x:f>ROUND(M579*0.0145,2)</x:f>
        <x:v>515.13</x:v>
      </x:c>
      <x:c r="H581" s="34" t="str">
        <x:v>recurring</x:v>
      </x:c>
      <x:c r="I581" s="38" t="n">
        <x:f>ROUND(N579*0.0145,2)</x:f>
        <x:v>618.16</x:v>
      </x:c>
      <x:c r="J581" s="35" t="str">
        <x:v>Published rate × assumed quantity</x:v>
      </x:c>
      <x:c r="K581" s="36" t="str">
        <x:v>IRS</x:v>
      </x:c>
      <x:c r="L581" s="37" t="n">
        <x:f>ROUND(E581*F581,2)</x:f>
        <x:v>460.54</x:v>
      </x:c>
      <x:c r="M581" s="37" t="n">
        <x:f>ROUND(E581*G581,2)</x:f>
        <x:v>515.13</x:v>
      </x:c>
      <x:c r="N581" s="37" t="n">
        <x:f>ROUND(E581*I581,2)</x:f>
        <x:v>618.16</x:v>
      </x:c>
      <x:c r="O581" s="18" t="str">
        <x:v>Rate 1.4500%; Applied to modeled wages. WC 2% and retirement3% allowances.</x:v>
      </x:c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ht="48" customHeight="1">
      <x:c r="A582" s="1" t="str">
        <x:v>STA-11-FUTA</x:v>
      </x:c>
      <x:c r="B582" s="1" t="str">
        <x:v>Staff</x:v>
      </x:c>
      <x:c r="C582" s="18" t="str">
        <x:v>Employee 11 | Float teacher 02 | employer FUTA</x:v>
      </x:c>
      <x:c r="D582" s="18" t="str">
        <x:v>employee-year</x:v>
      </x:c>
      <x:c r="E582" s="32" t="n">
        <x:v>1</x:v>
      </x:c>
      <x:c r="F582" s="38" t="n">
        <x:f>ROUND(MIN(L579,7000)*0.006,2)</x:f>
        <x:v>42</x:v>
      </x:c>
      <x:c r="G582" s="38" t="n">
        <x:f>ROUND(MIN(M579,7000)*0.006,2)</x:f>
        <x:v>42</x:v>
      </x:c>
      <x:c r="H582" s="34" t="str">
        <x:v>recurring</x:v>
      </x:c>
      <x:c r="I582" s="38" t="n">
        <x:f>ROUND(MIN(N579,7000)*0.006,2)</x:f>
        <x:v>42</x:v>
      </x:c>
      <x:c r="J582" s="35" t="str">
        <x:v>Published rate × assumed quantity</x:v>
      </x:c>
      <x:c r="K582" s="36" t="str">
        <x:v>FUTA</x:v>
      </x:c>
      <x:c r="L582" s="37" t="n">
        <x:f>ROUND(E582*F582,2)</x:f>
        <x:v>42</x:v>
      </x:c>
      <x:c r="M582" s="37" t="n">
        <x:f>ROUND(E582*G582,2)</x:f>
        <x:v>42</x:v>
      </x:c>
      <x:c r="N582" s="37" t="n">
        <x:f>ROUND(E582*I582,2)</x:f>
        <x:v>42</x:v>
      </x:c>
      <x:c r="O582" s="18" t="str">
        <x:v>Rate 0.6000%; cap $7,000. WC 2% and retirement3% allowances.</x:v>
      </x:c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ht="48" customHeight="1">
      <x:c r="A583" s="1" t="str">
        <x:v>STA-11-UI</x:v>
      </x:c>
      <x:c r="B583" s="1" t="str">
        <x:v>Staff</x:v>
      </x:c>
      <x:c r="C583" s="18" t="str">
        <x:v>Employee 11 | Float teacher 02 | employer Missouri unemployment</x:v>
      </x:c>
      <x:c r="D583" s="18" t="str">
        <x:v>employee-year</x:v>
      </x:c>
      <x:c r="E583" s="32" t="n">
        <x:v>1</x:v>
      </x:c>
      <x:c r="F583" s="38" t="n">
        <x:f>ROUND(MIN(L579,9000)*0.02376,2)</x:f>
        <x:v>213.84</x:v>
      </x:c>
      <x:c r="G583" s="38" t="n">
        <x:f>ROUND(MIN(M579,9000)*0.02376,2)</x:f>
        <x:v>213.84</x:v>
      </x:c>
      <x:c r="H583" s="34" t="str">
        <x:v>recurring</x:v>
      </x:c>
      <x:c r="I583" s="38" t="n">
        <x:f>ROUND(MIN(N579,9000)*0.02376,2)</x:f>
        <x:v>213.84</x:v>
      </x:c>
      <x:c r="J583" s="35" t="str">
        <x:v>Published rate × assumed quantity</x:v>
      </x:c>
      <x:c r="K583" s="36" t="str">
        <x:v>MOUI</x:v>
      </x:c>
      <x:c r="L583" s="37" t="n">
        <x:f>ROUND(E583*F583,2)</x:f>
        <x:v>213.84</x:v>
      </x:c>
      <x:c r="M583" s="37" t="n">
        <x:f>ROUND(E583*G583,2)</x:f>
        <x:v>213.84</x:v>
      </x:c>
      <x:c r="N583" s="37" t="n">
        <x:f>ROUND(E583*I583,2)</x:f>
        <x:v>213.84</x:v>
      </x:c>
      <x:c r="O583" s="18" t="str">
        <x:v>Rate 2.3760%; cap $9,000. WC 2% and retirement3% allowances.</x:v>
      </x:c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ht="48" customHeight="1">
      <x:c r="A584" s="1" t="str">
        <x:v>STA-11-WC</x:v>
      </x:c>
      <x:c r="B584" s="1" t="str">
        <x:v>Staff</x:v>
      </x:c>
      <x:c r="C584" s="18" t="str">
        <x:v>Employee 11 | Float teacher 02 | employer workers compensation</x:v>
      </x:c>
      <x:c r="D584" s="18" t="str">
        <x:v>employee-year</x:v>
      </x:c>
      <x:c r="E584" s="32" t="n">
        <x:v>1</x:v>
      </x:c>
      <x:c r="F584" s="38" t="n">
        <x:f>ROUND(L579*0.02,2)</x:f>
        <x:v>635.23</x:v>
      </x:c>
      <x:c r="G584" s="38" t="n">
        <x:f>ROUND(M579*0.02,2)</x:f>
        <x:v>710.53</x:v>
      </x:c>
      <x:c r="H584" s="34" t="str">
        <x:v>recurring</x:v>
      </x:c>
      <x:c r="I584" s="38" t="n">
        <x:f>ROUND(N579*0.02,2)</x:f>
        <x:v>852.63</x:v>
      </x:c>
      <x:c r="J584" s="35" t="str">
        <x:v>Planning allowance; written quote needed</x:v>
      </x:c>
      <x:c r="K584" s="36" t="str">
        <x:v>ALLOW</x:v>
      </x:c>
      <x:c r="L584" s="37" t="n">
        <x:f>ROUND(E584*F584,2)</x:f>
        <x:v>635.23</x:v>
      </x:c>
      <x:c r="M584" s="37" t="n">
        <x:f>ROUND(E584*G584,2)</x:f>
        <x:v>710.53</x:v>
      </x:c>
      <x:c r="N584" s="37" t="n">
        <x:f>ROUND(E584*I584,2)</x:f>
        <x:v>852.63</x:v>
      </x:c>
      <x:c r="O584" s="18" t="str">
        <x:v>Rate 2.0000%; Applied to modeled wages. WC 2% and retirement3% allowances.</x:v>
      </x:c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ht="48" customHeight="1">
      <x:c r="A585" s="1" t="str">
        <x:v>STA-11-RET</x:v>
      </x:c>
      <x:c r="B585" s="1" t="str">
        <x:v>Staff</x:v>
      </x:c>
      <x:c r="C585" s="18" t="str">
        <x:v>Employee 11 | Float teacher 02 | employer retirement match</x:v>
      </x:c>
      <x:c r="D585" s="18" t="str">
        <x:v>employee-year</x:v>
      </x:c>
      <x:c r="E585" s="32" t="n">
        <x:v>1</x:v>
      </x:c>
      <x:c r="F585" s="38" t="n">
        <x:f>ROUND(L579*0.03,2)</x:f>
        <x:v>952.85</x:v>
      </x:c>
      <x:c r="G585" s="38" t="n">
        <x:f>ROUND(M579*0.03,2)</x:f>
        <x:v>1065.79</x:v>
      </x:c>
      <x:c r="H585" s="34" t="str">
        <x:v>recurring</x:v>
      </x:c>
      <x:c r="I585" s="38" t="n">
        <x:f>ROUND(N579*0.03,2)</x:f>
        <x:v>1278.95</x:v>
      </x:c>
      <x:c r="J585" s="35" t="str">
        <x:v>Planning allowance; written quote needed</x:v>
      </x:c>
      <x:c r="K585" s="36" t="str">
        <x:v>ALLOW</x:v>
      </x:c>
      <x:c r="L585" s="37" t="n">
        <x:f>ROUND(E585*F585,2)</x:f>
        <x:v>952.85</x:v>
      </x:c>
      <x:c r="M585" s="37" t="n">
        <x:f>ROUND(E585*G585,2)</x:f>
        <x:v>1065.79</x:v>
      </x:c>
      <x:c r="N585" s="37" t="n">
        <x:f>ROUND(E585*I585,2)</x:f>
        <x:v>1278.95</x:v>
      </x:c>
      <x:c r="O585" s="18" t="str">
        <x:v>Rate 3.0000%; Applied to modeled wages. WC 2% and retirement3% allowances.</x:v>
      </x:c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ht="48" customHeight="1">
      <x:c r="A586" s="1" t="str">
        <x:v>STA-11-HEALTH</x:v>
      </x:c>
      <x:c r="B586" s="1" t="str">
        <x:v>Staff</x:v>
      </x:c>
      <x:c r="C586" s="18" t="str">
        <x:v>Employee 11 | Float teacher 02 | health coverage</x:v>
      </x:c>
      <x:c r="D586" s="18" t="str">
        <x:v>employee-year</x:v>
      </x:c>
      <x:c r="E586" s="32" t="n">
        <x:v>1</x:v>
      </x:c>
      <x:c r="F586" s="33" t="n">
        <x:v>7800</x:v>
      </x:c>
      <x:c r="G586" s="33" t="n">
        <x:v>7800</x:v>
      </x:c>
      <x:c r="H586" s="34" t="str">
        <x:v>recurring</x:v>
      </x:c>
      <x:c r="I586" s="33" t="n">
        <x:v>7800</x:v>
      </x:c>
      <x:c r="J586" s="35" t="str">
        <x:v>Planning allowance; written quote needed</x:v>
      </x:c>
      <x:c r="K586" s="36" t="str">
        <x:v>ALLOW</x:v>
      </x:c>
      <x:c r="L586" s="37" t="n">
        <x:f>ROUND(E586*F586,2)</x:f>
        <x:v>7800</x:v>
      </x:c>
      <x:c r="M586" s="37" t="n">
        <x:f>ROUND(E586*G586,2)</x:f>
        <x:v>7800</x:v>
      </x:c>
      <x:c r="N586" s="37" t="n">
        <x:f>ROUND(E586*I586,2)</x:f>
        <x:v>7800</x:v>
      </x:c>
      <x:c r="O586" s="18" t="str">
        <x:v>Employer contribution allowance. Includes part-time seats13/14 voluntarily; insurer/eligibility must confirm.</x:v>
      </x:c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ht="48" customHeight="1">
      <x:c r="A587" s="1" t="str">
        <x:v>STA-11-DENT</x:v>
      </x:c>
      <x:c r="B587" s="1" t="str">
        <x:v>Staff</x:v>
      </x:c>
      <x:c r="C587" s="18" t="str">
        <x:v>Employee 11 | Float teacher 02 | dental</x:v>
      </x:c>
      <x:c r="D587" s="18" t="str">
        <x:v>employee-year</x:v>
      </x:c>
      <x:c r="E587" s="32" t="n">
        <x:v>1</x:v>
      </x:c>
      <x:c r="F587" s="33" t="n">
        <x:v>660</x:v>
      </x:c>
      <x:c r="G587" s="33" t="n">
        <x:v>660</x:v>
      </x:c>
      <x:c r="H587" s="34" t="str">
        <x:v>recurring</x:v>
      </x:c>
      <x:c r="I587" s="33" t="n">
        <x:v>660</x:v>
      </x:c>
      <x:c r="J587" s="35" t="str">
        <x:v>Planning allowance; written quote needed</x:v>
      </x:c>
      <x:c r="K587" s="36" t="str">
        <x:v>ALLOW</x:v>
      </x:c>
      <x:c r="L587" s="37" t="n">
        <x:f>ROUND(E587*F587,2)</x:f>
        <x:v>660</x:v>
      </x:c>
      <x:c r="M587" s="37" t="n">
        <x:f>ROUND(E587*G587,2)</x:f>
        <x:v>660</x:v>
      </x:c>
      <x:c r="N587" s="37" t="n">
        <x:f>ROUND(E587*I587,2)</x:f>
        <x:v>660</x:v>
      </x:c>
      <x:c r="O587" s="18" t="str">
        <x:v>Employer contribution allowance. Includes part-time seats13/14 voluntarily; insurer/eligibility must confirm.</x:v>
      </x:c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ht="48" customHeight="1">
      <x:c r="A588" s="1" t="str">
        <x:v>STA-11-VISION</x:v>
      </x:c>
      <x:c r="B588" s="1" t="str">
        <x:v>Staff</x:v>
      </x:c>
      <x:c r="C588" s="18" t="str">
        <x:v>Employee 11 | Float teacher 02 | vision</x:v>
      </x:c>
      <x:c r="D588" s="18" t="str">
        <x:v>employee-year</x:v>
      </x:c>
      <x:c r="E588" s="32" t="n">
        <x:v>1</x:v>
      </x:c>
      <x:c r="F588" s="33" t="n">
        <x:v>240</x:v>
      </x:c>
      <x:c r="G588" s="33" t="n">
        <x:v>240</x:v>
      </x:c>
      <x:c r="H588" s="34" t="str">
        <x:v>recurring</x:v>
      </x:c>
      <x:c r="I588" s="33" t="n">
        <x:v>240</x:v>
      </x:c>
      <x:c r="J588" s="35" t="str">
        <x:v>Planning allowance; written quote needed</x:v>
      </x:c>
      <x:c r="K588" s="36" t="str">
        <x:v>ALLOW</x:v>
      </x:c>
      <x:c r="L588" s="37" t="n">
        <x:f>ROUND(E588*F588,2)</x:f>
        <x:v>240</x:v>
      </x:c>
      <x:c r="M588" s="37" t="n">
        <x:f>ROUND(E588*G588,2)</x:f>
        <x:v>240</x:v>
      </x:c>
      <x:c r="N588" s="37" t="n">
        <x:f>ROUND(E588*I588,2)</x:f>
        <x:v>240</x:v>
      </x:c>
      <x:c r="O588" s="18" t="str">
        <x:v>Employer contribution allowance. Includes part-time seats13/14 voluntarily; insurer/eligibility must confirm.</x:v>
      </x:c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ht="48" customHeight="1">
      <x:c r="A589" s="1" t="str">
        <x:v>STA-12-WAGE</x:v>
      </x:c>
      <x:c r="B589" s="1" t="str">
        <x:v>Staff</x:v>
      </x:c>
      <x:c r="C589" s="18" t="str">
        <x:v>Employee 12 | Cook | wages</x:v>
      </x:c>
      <x:c r="D589" s="18" t="str">
        <x:v>paid hour</x:v>
      </x:c>
      <x:c r="E589" s="32" t="n">
        <x:v>2080</x:v>
      </x:c>
      <x:c r="F589" s="33" t="n">
        <x:v>17</x:v>
      </x:c>
      <x:c r="G589" s="33" t="n">
        <x:v>19</x:v>
      </x:c>
      <x:c r="H589" s="34" t="str">
        <x:v>recurring</x:v>
      </x:c>
      <x:c r="I589" s="33" t="n">
        <x:v>22.8</x:v>
      </x:c>
      <x:c r="J589" s="35" t="str">
        <x:v>Planning allowance; written quote needed</x:v>
      </x:c>
      <x:c r="K589" s="36" t="str">
        <x:v>ALLOW</x:v>
      </x:c>
      <x:c r="L589" s="37" t="n">
        <x:f>ROUND(E589*F589,2)</x:f>
        <x:v>35360</x:v>
      </x:c>
      <x:c r="M589" s="37" t="n">
        <x:f>ROUND(E589*G589,2)</x:f>
        <x:v>39520</x:v>
      </x:c>
      <x:c r="N589" s="37" t="n">
        <x:f>ROUND(E589*I589,2)</x:f>
        <x:v>47424</x:v>
      </x:c>
      <x:c r="O589" s="18" t="str">
        <x:v>40h/week max; PTO/training within paid hours. Wage high=20% above base, sensitivity not observed percentile.</x:v>
      </x:c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ht="48" customHeight="1">
      <x:c r="A590" s="1" t="str">
        <x:v>STA-12-SS</x:v>
      </x:c>
      <x:c r="B590" s="1" t="str">
        <x:v>Staff</x:v>
      </x:c>
      <x:c r="C590" s="18" t="str">
        <x:v>Employee 12 | Cook | employer Social Security</x:v>
      </x:c>
      <x:c r="D590" s="18" t="str">
        <x:v>employee-year</x:v>
      </x:c>
      <x:c r="E590" s="32" t="n">
        <x:v>1</x:v>
      </x:c>
      <x:c r="F590" s="38" t="n">
        <x:f>ROUND(MIN(L589,184500)*0.062,2)</x:f>
        <x:v>2192.32</x:v>
      </x:c>
      <x:c r="G590" s="38" t="n">
        <x:f>ROUND(MIN(M589,184500)*0.062,2)</x:f>
        <x:v>2450.24</x:v>
      </x:c>
      <x:c r="H590" s="34" t="str">
        <x:v>recurring</x:v>
      </x:c>
      <x:c r="I590" s="38" t="n">
        <x:f>ROUND(MIN(N589,184500)*0.062,2)</x:f>
        <x:v>2940.29</x:v>
      </x:c>
      <x:c r="J590" s="35" t="str">
        <x:v>Published rate × assumed quantity</x:v>
      </x:c>
      <x:c r="K590" s="36" t="str">
        <x:v>IRS</x:v>
      </x:c>
      <x:c r="L590" s="37" t="n">
        <x:f>ROUND(E590*F590,2)</x:f>
        <x:v>2192.32</x:v>
      </x:c>
      <x:c r="M590" s="37" t="n">
        <x:f>ROUND(E590*G590,2)</x:f>
        <x:v>2450.24</x:v>
      </x:c>
      <x:c r="N590" s="37" t="n">
        <x:f>ROUND(E590*I590,2)</x:f>
        <x:v>2940.29</x:v>
      </x:c>
      <x:c r="O590" s="18" t="str">
        <x:v>Rate 6.2000%; cap $184,500. WC 2% and retirement3% allowances.</x:v>
      </x:c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ht="48" customHeight="1">
      <x:c r="A591" s="1" t="str">
        <x:v>STA-12-MED</x:v>
      </x:c>
      <x:c r="B591" s="1" t="str">
        <x:v>Staff</x:v>
      </x:c>
      <x:c r="C591" s="18" t="str">
        <x:v>Employee 12 | Cook | employer Medicare</x:v>
      </x:c>
      <x:c r="D591" s="18" t="str">
        <x:v>employee-year</x:v>
      </x:c>
      <x:c r="E591" s="32" t="n">
        <x:v>1</x:v>
      </x:c>
      <x:c r="F591" s="38" t="n">
        <x:f>ROUND(L589*0.0145,2)</x:f>
        <x:v>512.72</x:v>
      </x:c>
      <x:c r="G591" s="38" t="n">
        <x:f>ROUND(M589*0.0145,2)</x:f>
        <x:v>573.04</x:v>
      </x:c>
      <x:c r="H591" s="34" t="str">
        <x:v>recurring</x:v>
      </x:c>
      <x:c r="I591" s="38" t="n">
        <x:f>ROUND(N589*0.0145,2)</x:f>
        <x:v>687.65</x:v>
      </x:c>
      <x:c r="J591" s="35" t="str">
        <x:v>Published rate × assumed quantity</x:v>
      </x:c>
      <x:c r="K591" s="36" t="str">
        <x:v>IRS</x:v>
      </x:c>
      <x:c r="L591" s="37" t="n">
        <x:f>ROUND(E591*F591,2)</x:f>
        <x:v>512.72</x:v>
      </x:c>
      <x:c r="M591" s="37" t="n">
        <x:f>ROUND(E591*G591,2)</x:f>
        <x:v>573.04</x:v>
      </x:c>
      <x:c r="N591" s="37" t="n">
        <x:f>ROUND(E591*I591,2)</x:f>
        <x:v>687.65</x:v>
      </x:c>
      <x:c r="O591" s="18" t="str">
        <x:v>Rate 1.4500%; Applied to modeled wages. WC 2% and retirement3% allowances.</x:v>
      </x:c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ht="48" customHeight="1">
      <x:c r="A592" s="1" t="str">
        <x:v>STA-12-FUTA</x:v>
      </x:c>
      <x:c r="B592" s="1" t="str">
        <x:v>Staff</x:v>
      </x:c>
      <x:c r="C592" s="18" t="str">
        <x:v>Employee 12 | Cook | employer FUTA</x:v>
      </x:c>
      <x:c r="D592" s="18" t="str">
        <x:v>employee-year</x:v>
      </x:c>
      <x:c r="E592" s="32" t="n">
        <x:v>1</x:v>
      </x:c>
      <x:c r="F592" s="38" t="n">
        <x:f>ROUND(MIN(L589,7000)*0.006,2)</x:f>
        <x:v>42</x:v>
      </x:c>
      <x:c r="G592" s="38" t="n">
        <x:f>ROUND(MIN(M589,7000)*0.006,2)</x:f>
        <x:v>42</x:v>
      </x:c>
      <x:c r="H592" s="34" t="str">
        <x:v>recurring</x:v>
      </x:c>
      <x:c r="I592" s="38" t="n">
        <x:f>ROUND(MIN(N589,7000)*0.006,2)</x:f>
        <x:v>42</x:v>
      </x:c>
      <x:c r="J592" s="35" t="str">
        <x:v>Published rate × assumed quantity</x:v>
      </x:c>
      <x:c r="K592" s="36" t="str">
        <x:v>FUTA</x:v>
      </x:c>
      <x:c r="L592" s="37" t="n">
        <x:f>ROUND(E592*F592,2)</x:f>
        <x:v>42</x:v>
      </x:c>
      <x:c r="M592" s="37" t="n">
        <x:f>ROUND(E592*G592,2)</x:f>
        <x:v>42</x:v>
      </x:c>
      <x:c r="N592" s="37" t="n">
        <x:f>ROUND(E592*I592,2)</x:f>
        <x:v>42</x:v>
      </x:c>
      <x:c r="O592" s="18" t="str">
        <x:v>Rate 0.6000%; cap $7,000. WC 2% and retirement3% allowances.</x:v>
      </x:c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ht="48" customHeight="1">
      <x:c r="A593" s="1" t="str">
        <x:v>STA-12-UI</x:v>
      </x:c>
      <x:c r="B593" s="1" t="str">
        <x:v>Staff</x:v>
      </x:c>
      <x:c r="C593" s="18" t="str">
        <x:v>Employee 12 | Cook | employer Missouri unemployment</x:v>
      </x:c>
      <x:c r="D593" s="18" t="str">
        <x:v>employee-year</x:v>
      </x:c>
      <x:c r="E593" s="32" t="n">
        <x:v>1</x:v>
      </x:c>
      <x:c r="F593" s="38" t="n">
        <x:f>ROUND(MIN(L589,9000)*0.02376,2)</x:f>
        <x:v>213.84</x:v>
      </x:c>
      <x:c r="G593" s="38" t="n">
        <x:f>ROUND(MIN(M589,9000)*0.02376,2)</x:f>
        <x:v>213.84</x:v>
      </x:c>
      <x:c r="H593" s="34" t="str">
        <x:v>recurring</x:v>
      </x:c>
      <x:c r="I593" s="38" t="n">
        <x:f>ROUND(MIN(N589,9000)*0.02376,2)</x:f>
        <x:v>213.84</x:v>
      </x:c>
      <x:c r="J593" s="35" t="str">
        <x:v>Published rate × assumed quantity</x:v>
      </x:c>
      <x:c r="K593" s="36" t="str">
        <x:v>MOUI</x:v>
      </x:c>
      <x:c r="L593" s="37" t="n">
        <x:f>ROUND(E593*F593,2)</x:f>
        <x:v>213.84</x:v>
      </x:c>
      <x:c r="M593" s="37" t="n">
        <x:f>ROUND(E593*G593,2)</x:f>
        <x:v>213.84</x:v>
      </x:c>
      <x:c r="N593" s="37" t="n">
        <x:f>ROUND(E593*I593,2)</x:f>
        <x:v>213.84</x:v>
      </x:c>
      <x:c r="O593" s="18" t="str">
        <x:v>Rate 2.3760%; cap $9,000. WC 2% and retirement3% allowances.</x:v>
      </x:c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ht="48" customHeight="1">
      <x:c r="A594" s="1" t="str">
        <x:v>STA-12-WC</x:v>
      </x:c>
      <x:c r="B594" s="1" t="str">
        <x:v>Staff</x:v>
      </x:c>
      <x:c r="C594" s="18" t="str">
        <x:v>Employee 12 | Cook | employer workers compensation</x:v>
      </x:c>
      <x:c r="D594" s="18" t="str">
        <x:v>employee-year</x:v>
      </x:c>
      <x:c r="E594" s="32" t="n">
        <x:v>1</x:v>
      </x:c>
      <x:c r="F594" s="38" t="n">
        <x:f>ROUND(L589*0.02,2)</x:f>
        <x:v>707.2</x:v>
      </x:c>
      <x:c r="G594" s="38" t="n">
        <x:f>ROUND(M589*0.02,2)</x:f>
        <x:v>790.4</x:v>
      </x:c>
      <x:c r="H594" s="34" t="str">
        <x:v>recurring</x:v>
      </x:c>
      <x:c r="I594" s="38" t="n">
        <x:f>ROUND(N589*0.02,2)</x:f>
        <x:v>948.48</x:v>
      </x:c>
      <x:c r="J594" s="35" t="str">
        <x:v>Planning allowance; written quote needed</x:v>
      </x:c>
      <x:c r="K594" s="36" t="str">
        <x:v>ALLOW</x:v>
      </x:c>
      <x:c r="L594" s="37" t="n">
        <x:f>ROUND(E594*F594,2)</x:f>
        <x:v>707.2</x:v>
      </x:c>
      <x:c r="M594" s="37" t="n">
        <x:f>ROUND(E594*G594,2)</x:f>
        <x:v>790.4</x:v>
      </x:c>
      <x:c r="N594" s="37" t="n">
        <x:f>ROUND(E594*I594,2)</x:f>
        <x:v>948.48</x:v>
      </x:c>
      <x:c r="O594" s="18" t="str">
        <x:v>Rate 2.0000%; Applied to modeled wages. WC 2% and retirement3% allowances.</x:v>
      </x:c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ht="48" customHeight="1">
      <x:c r="A595" s="1" t="str">
        <x:v>STA-12-RET</x:v>
      </x:c>
      <x:c r="B595" s="1" t="str">
        <x:v>Staff</x:v>
      </x:c>
      <x:c r="C595" s="18" t="str">
        <x:v>Employee 12 | Cook | employer retirement match</x:v>
      </x:c>
      <x:c r="D595" s="18" t="str">
        <x:v>employee-year</x:v>
      </x:c>
      <x:c r="E595" s="32" t="n">
        <x:v>1</x:v>
      </x:c>
      <x:c r="F595" s="38" t="n">
        <x:f>ROUND(L589*0.03,2)</x:f>
        <x:v>1060.8</x:v>
      </x:c>
      <x:c r="G595" s="38" t="n">
        <x:f>ROUND(M589*0.03,2)</x:f>
        <x:v>1185.6</x:v>
      </x:c>
      <x:c r="H595" s="34" t="str">
        <x:v>recurring</x:v>
      </x:c>
      <x:c r="I595" s="38" t="n">
        <x:f>ROUND(N589*0.03,2)</x:f>
        <x:v>1422.72</x:v>
      </x:c>
      <x:c r="J595" s="35" t="str">
        <x:v>Planning allowance; written quote needed</x:v>
      </x:c>
      <x:c r="K595" s="36" t="str">
        <x:v>ALLOW</x:v>
      </x:c>
      <x:c r="L595" s="37" t="n">
        <x:f>ROUND(E595*F595,2)</x:f>
        <x:v>1060.8</x:v>
      </x:c>
      <x:c r="M595" s="37" t="n">
        <x:f>ROUND(E595*G595,2)</x:f>
        <x:v>1185.6</x:v>
      </x:c>
      <x:c r="N595" s="37" t="n">
        <x:f>ROUND(E595*I595,2)</x:f>
        <x:v>1422.72</x:v>
      </x:c>
      <x:c r="O595" s="18" t="str">
        <x:v>Rate 3.0000%; Applied to modeled wages. WC 2% and retirement3% allowances.</x:v>
      </x:c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ht="48" customHeight="1">
      <x:c r="A596" s="1" t="str">
        <x:v>STA-12-HEALTH</x:v>
      </x:c>
      <x:c r="B596" s="1" t="str">
        <x:v>Staff</x:v>
      </x:c>
      <x:c r="C596" s="18" t="str">
        <x:v>Employee 12 | Cook | health coverage</x:v>
      </x:c>
      <x:c r="D596" s="18" t="str">
        <x:v>employee-year</x:v>
      </x:c>
      <x:c r="E596" s="32" t="n">
        <x:v>1</x:v>
      </x:c>
      <x:c r="F596" s="33" t="n">
        <x:v>7800</x:v>
      </x:c>
      <x:c r="G596" s="33" t="n">
        <x:v>7800</x:v>
      </x:c>
      <x:c r="H596" s="34" t="str">
        <x:v>recurring</x:v>
      </x:c>
      <x:c r="I596" s="33" t="n">
        <x:v>7800</x:v>
      </x:c>
      <x:c r="J596" s="35" t="str">
        <x:v>Planning allowance; written quote needed</x:v>
      </x:c>
      <x:c r="K596" s="36" t="str">
        <x:v>ALLOW</x:v>
      </x:c>
      <x:c r="L596" s="37" t="n">
        <x:f>ROUND(E596*F596,2)</x:f>
        <x:v>7800</x:v>
      </x:c>
      <x:c r="M596" s="37" t="n">
        <x:f>ROUND(E596*G596,2)</x:f>
        <x:v>7800</x:v>
      </x:c>
      <x:c r="N596" s="37" t="n">
        <x:f>ROUND(E596*I596,2)</x:f>
        <x:v>7800</x:v>
      </x:c>
      <x:c r="O596" s="18" t="str">
        <x:v>Employer contribution allowance. Includes part-time seats13/14 voluntarily; insurer/eligibility must confirm.</x:v>
      </x:c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ht="48" customHeight="1">
      <x:c r="A597" s="1" t="str">
        <x:v>STA-12-DENT</x:v>
      </x:c>
      <x:c r="B597" s="1" t="str">
        <x:v>Staff</x:v>
      </x:c>
      <x:c r="C597" s="18" t="str">
        <x:v>Employee 12 | Cook | dental</x:v>
      </x:c>
      <x:c r="D597" s="18" t="str">
        <x:v>employee-year</x:v>
      </x:c>
      <x:c r="E597" s="32" t="n">
        <x:v>1</x:v>
      </x:c>
      <x:c r="F597" s="33" t="n">
        <x:v>660</x:v>
      </x:c>
      <x:c r="G597" s="33" t="n">
        <x:v>660</x:v>
      </x:c>
      <x:c r="H597" s="34" t="str">
        <x:v>recurring</x:v>
      </x:c>
      <x:c r="I597" s="33" t="n">
        <x:v>660</x:v>
      </x:c>
      <x:c r="J597" s="35" t="str">
        <x:v>Planning allowance; written quote needed</x:v>
      </x:c>
      <x:c r="K597" s="36" t="str">
        <x:v>ALLOW</x:v>
      </x:c>
      <x:c r="L597" s="37" t="n">
        <x:f>ROUND(E597*F597,2)</x:f>
        <x:v>660</x:v>
      </x:c>
      <x:c r="M597" s="37" t="n">
        <x:f>ROUND(E597*G597,2)</x:f>
        <x:v>660</x:v>
      </x:c>
      <x:c r="N597" s="37" t="n">
        <x:f>ROUND(E597*I597,2)</x:f>
        <x:v>660</x:v>
      </x:c>
      <x:c r="O597" s="18" t="str">
        <x:v>Employer contribution allowance. Includes part-time seats13/14 voluntarily; insurer/eligibility must confirm.</x:v>
      </x:c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ht="48" customHeight="1">
      <x:c r="A598" s="1" t="str">
        <x:v>STA-12-VISION</x:v>
      </x:c>
      <x:c r="B598" s="1" t="str">
        <x:v>Staff</x:v>
      </x:c>
      <x:c r="C598" s="18" t="str">
        <x:v>Employee 12 | Cook | vision</x:v>
      </x:c>
      <x:c r="D598" s="18" t="str">
        <x:v>employee-year</x:v>
      </x:c>
      <x:c r="E598" s="32" t="n">
        <x:v>1</x:v>
      </x:c>
      <x:c r="F598" s="33" t="n">
        <x:v>240</x:v>
      </x:c>
      <x:c r="G598" s="33" t="n">
        <x:v>240</x:v>
      </x:c>
      <x:c r="H598" s="34" t="str">
        <x:v>recurring</x:v>
      </x:c>
      <x:c r="I598" s="33" t="n">
        <x:v>240</x:v>
      </x:c>
      <x:c r="J598" s="35" t="str">
        <x:v>Planning allowance; written quote needed</x:v>
      </x:c>
      <x:c r="K598" s="36" t="str">
        <x:v>ALLOW</x:v>
      </x:c>
      <x:c r="L598" s="37" t="n">
        <x:f>ROUND(E598*F598,2)</x:f>
        <x:v>240</x:v>
      </x:c>
      <x:c r="M598" s="37" t="n">
        <x:f>ROUND(E598*G598,2)</x:f>
        <x:v>240</x:v>
      </x:c>
      <x:c r="N598" s="37" t="n">
        <x:f>ROUND(E598*I598,2)</x:f>
        <x:v>240</x:v>
      </x:c>
      <x:c r="O598" s="18" t="str">
        <x:v>Employer contribution allowance. Includes part-time seats13/14 voluntarily; insurer/eligibility must confirm.</x:v>
      </x:c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ht="48" customHeight="1">
      <x:c r="A599" s="1" t="str">
        <x:v>STA-13-WAGE</x:v>
      </x:c>
      <x:c r="B599" s="1" t="str">
        <x:v>Staff</x:v>
      </x:c>
      <x:c r="C599" s="18" t="str">
        <x:v>Employee 13 | Office administrator | wages</x:v>
      </x:c>
      <x:c r="D599" s="18" t="str">
        <x:v>paid hour</x:v>
      </x:c>
      <x:c r="E599" s="32" t="n">
        <x:v>1560</x:v>
      </x:c>
      <x:c r="F599" s="33" t="n">
        <x:v>22.5</x:v>
      </x:c>
      <x:c r="G599" s="33" t="n">
        <x:v>25.77</x:v>
      </x:c>
      <x:c r="H599" s="34" t="str">
        <x:v>recurring</x:v>
      </x:c>
      <x:c r="I599" s="33" t="n">
        <x:v>30.924</x:v>
      </x:c>
      <x:c r="J599" s="35" t="str">
        <x:v>Local 75th percentile wage benchmark</x:v>
      </x:c>
      <x:c r="K599" s="36" t="str">
        <x:v>ADMIN</x:v>
      </x:c>
      <x:c r="L599" s="37" t="n">
        <x:f>ROUND(E599*F599,2)</x:f>
        <x:v>35100</x:v>
      </x:c>
      <x:c r="M599" s="37" t="n">
        <x:f>ROUND(E599*G599,2)</x:f>
        <x:v>40201.2</x:v>
      </x:c>
      <x:c r="N599" s="37" t="n">
        <x:f>ROUND(E599*I599,2)</x:f>
        <x:v>48241.44</x:v>
      </x:c>
      <x:c r="O599" s="18" t="str">
        <x:v>40h/week max; PTO/training within paid hours. Wage high=20% above base, sensitivity not observed percentile.</x:v>
      </x:c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ht="48" customHeight="1">
      <x:c r="A600" s="1" t="str">
        <x:v>STA-13-SS</x:v>
      </x:c>
      <x:c r="B600" s="1" t="str">
        <x:v>Staff</x:v>
      </x:c>
      <x:c r="C600" s="18" t="str">
        <x:v>Employee 13 | Office administrator | employer Social Security</x:v>
      </x:c>
      <x:c r="D600" s="18" t="str">
        <x:v>employee-year</x:v>
      </x:c>
      <x:c r="E600" s="32" t="n">
        <x:v>1</x:v>
      </x:c>
      <x:c r="F600" s="38" t="n">
        <x:f>ROUND(MIN(L599,184500)*0.062,2)</x:f>
        <x:v>2176.2</x:v>
      </x:c>
      <x:c r="G600" s="38" t="n">
        <x:f>ROUND(MIN(M599,184500)*0.062,2)</x:f>
        <x:v>2492.47</x:v>
      </x:c>
      <x:c r="H600" s="34" t="str">
        <x:v>recurring</x:v>
      </x:c>
      <x:c r="I600" s="38" t="n">
        <x:f>ROUND(MIN(N599,184500)*0.062,2)</x:f>
        <x:v>2990.97</x:v>
      </x:c>
      <x:c r="J600" s="35" t="str">
        <x:v>Published rate × assumed quantity</x:v>
      </x:c>
      <x:c r="K600" s="36" t="str">
        <x:v>IRS</x:v>
      </x:c>
      <x:c r="L600" s="37" t="n">
        <x:f>ROUND(E600*F600,2)</x:f>
        <x:v>2176.2</x:v>
      </x:c>
      <x:c r="M600" s="37" t="n">
        <x:f>ROUND(E600*G600,2)</x:f>
        <x:v>2492.47</x:v>
      </x:c>
      <x:c r="N600" s="37" t="n">
        <x:f>ROUND(E600*I600,2)</x:f>
        <x:v>2990.97</x:v>
      </x:c>
      <x:c r="O600" s="18" t="str">
        <x:v>Rate 6.2000%; cap $184,500. WC 2% and retirement3% allowances.</x:v>
      </x:c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ht="48" customHeight="1">
      <x:c r="A601" s="1" t="str">
        <x:v>STA-13-MED</x:v>
      </x:c>
      <x:c r="B601" s="1" t="str">
        <x:v>Staff</x:v>
      </x:c>
      <x:c r="C601" s="18" t="str">
        <x:v>Employee 13 | Office administrator | employer Medicare</x:v>
      </x:c>
      <x:c r="D601" s="18" t="str">
        <x:v>employee-year</x:v>
      </x:c>
      <x:c r="E601" s="32" t="n">
        <x:v>1</x:v>
      </x:c>
      <x:c r="F601" s="38" t="n">
        <x:f>ROUND(L599*0.0145,2)</x:f>
        <x:v>508.95</x:v>
      </x:c>
      <x:c r="G601" s="38" t="n">
        <x:f>ROUND(M599*0.0145,2)</x:f>
        <x:v>582.92</x:v>
      </x:c>
      <x:c r="H601" s="34" t="str">
        <x:v>recurring</x:v>
      </x:c>
      <x:c r="I601" s="38" t="n">
        <x:f>ROUND(N599*0.0145,2)</x:f>
        <x:v>699.5</x:v>
      </x:c>
      <x:c r="J601" s="35" t="str">
        <x:v>Published rate × assumed quantity</x:v>
      </x:c>
      <x:c r="K601" s="36" t="str">
        <x:v>IRS</x:v>
      </x:c>
      <x:c r="L601" s="37" t="n">
        <x:f>ROUND(E601*F601,2)</x:f>
        <x:v>508.95</x:v>
      </x:c>
      <x:c r="M601" s="37" t="n">
        <x:f>ROUND(E601*G601,2)</x:f>
        <x:v>582.92</x:v>
      </x:c>
      <x:c r="N601" s="37" t="n">
        <x:f>ROUND(E601*I601,2)</x:f>
        <x:v>699.5</x:v>
      </x:c>
      <x:c r="O601" s="18" t="str">
        <x:v>Rate 1.4500%; Applied to modeled wages. WC 2% and retirement3% allowances.</x:v>
      </x:c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ht="48" customHeight="1">
      <x:c r="A602" s="1" t="str">
        <x:v>STA-13-FUTA</x:v>
      </x:c>
      <x:c r="B602" s="1" t="str">
        <x:v>Staff</x:v>
      </x:c>
      <x:c r="C602" s="18" t="str">
        <x:v>Employee 13 | Office administrator | employer FUTA</x:v>
      </x:c>
      <x:c r="D602" s="18" t="str">
        <x:v>employee-year</x:v>
      </x:c>
      <x:c r="E602" s="32" t="n">
        <x:v>1</x:v>
      </x:c>
      <x:c r="F602" s="38" t="n">
        <x:f>ROUND(MIN(L599,7000)*0.006,2)</x:f>
        <x:v>42</x:v>
      </x:c>
      <x:c r="G602" s="38" t="n">
        <x:f>ROUND(MIN(M599,7000)*0.006,2)</x:f>
        <x:v>42</x:v>
      </x:c>
      <x:c r="H602" s="34" t="str">
        <x:v>recurring</x:v>
      </x:c>
      <x:c r="I602" s="38" t="n">
        <x:f>ROUND(MIN(N599,7000)*0.006,2)</x:f>
        <x:v>42</x:v>
      </x:c>
      <x:c r="J602" s="35" t="str">
        <x:v>Published rate × assumed quantity</x:v>
      </x:c>
      <x:c r="K602" s="36" t="str">
        <x:v>FUTA</x:v>
      </x:c>
      <x:c r="L602" s="37" t="n">
        <x:f>ROUND(E602*F602,2)</x:f>
        <x:v>42</x:v>
      </x:c>
      <x:c r="M602" s="37" t="n">
        <x:f>ROUND(E602*G602,2)</x:f>
        <x:v>42</x:v>
      </x:c>
      <x:c r="N602" s="37" t="n">
        <x:f>ROUND(E602*I602,2)</x:f>
        <x:v>42</x:v>
      </x:c>
      <x:c r="O602" s="18" t="str">
        <x:v>Rate 0.6000%; cap $7,000. WC 2% and retirement3% allowances.</x:v>
      </x:c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ht="48" customHeight="1">
      <x:c r="A603" s="1" t="str">
        <x:v>STA-13-UI</x:v>
      </x:c>
      <x:c r="B603" s="1" t="str">
        <x:v>Staff</x:v>
      </x:c>
      <x:c r="C603" s="18" t="str">
        <x:v>Employee 13 | Office administrator | employer Missouri unemployment</x:v>
      </x:c>
      <x:c r="D603" s="18" t="str">
        <x:v>employee-year</x:v>
      </x:c>
      <x:c r="E603" s="32" t="n">
        <x:v>1</x:v>
      </x:c>
      <x:c r="F603" s="38" t="n">
        <x:f>ROUND(MIN(L599,9000)*0.02376,2)</x:f>
        <x:v>213.84</x:v>
      </x:c>
      <x:c r="G603" s="38" t="n">
        <x:f>ROUND(MIN(M599,9000)*0.02376,2)</x:f>
        <x:v>213.84</x:v>
      </x:c>
      <x:c r="H603" s="34" t="str">
        <x:v>recurring</x:v>
      </x:c>
      <x:c r="I603" s="38" t="n">
        <x:f>ROUND(MIN(N599,9000)*0.02376,2)</x:f>
        <x:v>213.84</x:v>
      </x:c>
      <x:c r="J603" s="35" t="str">
        <x:v>Published rate × assumed quantity</x:v>
      </x:c>
      <x:c r="K603" s="36" t="str">
        <x:v>MOUI</x:v>
      </x:c>
      <x:c r="L603" s="37" t="n">
        <x:f>ROUND(E603*F603,2)</x:f>
        <x:v>213.84</x:v>
      </x:c>
      <x:c r="M603" s="37" t="n">
        <x:f>ROUND(E603*G603,2)</x:f>
        <x:v>213.84</x:v>
      </x:c>
      <x:c r="N603" s="37" t="n">
        <x:f>ROUND(E603*I603,2)</x:f>
        <x:v>213.84</x:v>
      </x:c>
      <x:c r="O603" s="18" t="str">
        <x:v>Rate 2.3760%; cap $9,000. WC 2% and retirement3% allowances.</x:v>
      </x:c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ht="48" customHeight="1">
      <x:c r="A604" s="1" t="str">
        <x:v>STA-13-WC</x:v>
      </x:c>
      <x:c r="B604" s="1" t="str">
        <x:v>Staff</x:v>
      </x:c>
      <x:c r="C604" s="18" t="str">
        <x:v>Employee 13 | Office administrator | employer workers compensation</x:v>
      </x:c>
      <x:c r="D604" s="18" t="str">
        <x:v>employee-year</x:v>
      </x:c>
      <x:c r="E604" s="32" t="n">
        <x:v>1</x:v>
      </x:c>
      <x:c r="F604" s="38" t="n">
        <x:f>ROUND(L599*0.02,2)</x:f>
        <x:v>702</x:v>
      </x:c>
      <x:c r="G604" s="38" t="n">
        <x:f>ROUND(M599*0.02,2)</x:f>
        <x:v>804.02</x:v>
      </x:c>
      <x:c r="H604" s="34" t="str">
        <x:v>recurring</x:v>
      </x:c>
      <x:c r="I604" s="38" t="n">
        <x:f>ROUND(N599*0.02,2)</x:f>
        <x:v>964.83</x:v>
      </x:c>
      <x:c r="J604" s="35" t="str">
        <x:v>Planning allowance; written quote needed</x:v>
      </x:c>
      <x:c r="K604" s="36" t="str">
        <x:v>ALLOW</x:v>
      </x:c>
      <x:c r="L604" s="37" t="n">
        <x:f>ROUND(E604*F604,2)</x:f>
        <x:v>702</x:v>
      </x:c>
      <x:c r="M604" s="37" t="n">
        <x:f>ROUND(E604*G604,2)</x:f>
        <x:v>804.02</x:v>
      </x:c>
      <x:c r="N604" s="37" t="n">
        <x:f>ROUND(E604*I604,2)</x:f>
        <x:v>964.83</x:v>
      </x:c>
      <x:c r="O604" s="18" t="str">
        <x:v>Rate 2.0000%; Applied to modeled wages. WC 2% and retirement3% allowances.</x:v>
      </x:c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ht="48" customHeight="1">
      <x:c r="A605" s="1" t="str">
        <x:v>STA-13-RET</x:v>
      </x:c>
      <x:c r="B605" s="1" t="str">
        <x:v>Staff</x:v>
      </x:c>
      <x:c r="C605" s="18" t="str">
        <x:v>Employee 13 | Office administrator | employer retirement match</x:v>
      </x:c>
      <x:c r="D605" s="18" t="str">
        <x:v>employee-year</x:v>
      </x:c>
      <x:c r="E605" s="32" t="n">
        <x:v>1</x:v>
      </x:c>
      <x:c r="F605" s="38" t="n">
        <x:f>ROUND(L599*0.03,2)</x:f>
        <x:v>1053</x:v>
      </x:c>
      <x:c r="G605" s="38" t="n">
        <x:f>ROUND(M599*0.03,2)</x:f>
        <x:v>1206.04</x:v>
      </x:c>
      <x:c r="H605" s="34" t="str">
        <x:v>recurring</x:v>
      </x:c>
      <x:c r="I605" s="38" t="n">
        <x:f>ROUND(N599*0.03,2)</x:f>
        <x:v>1447.24</x:v>
      </x:c>
      <x:c r="J605" s="35" t="str">
        <x:v>Planning allowance; written quote needed</x:v>
      </x:c>
      <x:c r="K605" s="36" t="str">
        <x:v>ALLOW</x:v>
      </x:c>
      <x:c r="L605" s="37" t="n">
        <x:f>ROUND(E605*F605,2)</x:f>
        <x:v>1053</x:v>
      </x:c>
      <x:c r="M605" s="37" t="n">
        <x:f>ROUND(E605*G605,2)</x:f>
        <x:v>1206.04</x:v>
      </x:c>
      <x:c r="N605" s="37" t="n">
        <x:f>ROUND(E605*I605,2)</x:f>
        <x:v>1447.24</x:v>
      </x:c>
      <x:c r="O605" s="18" t="str">
        <x:v>Rate 3.0000%; Applied to modeled wages. WC 2% and retirement3% allowances.</x:v>
      </x:c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ht="48" customHeight="1">
      <x:c r="A606" s="1" t="str">
        <x:v>STA-13-HEALTH</x:v>
      </x:c>
      <x:c r="B606" s="1" t="str">
        <x:v>Staff</x:v>
      </x:c>
      <x:c r="C606" s="18" t="str">
        <x:v>Employee 13 | Office administrator | health coverage</x:v>
      </x:c>
      <x:c r="D606" s="18" t="str">
        <x:v>employee-year</x:v>
      </x:c>
      <x:c r="E606" s="32" t="n">
        <x:v>1</x:v>
      </x:c>
      <x:c r="F606" s="33" t="n">
        <x:v>7800</x:v>
      </x:c>
      <x:c r="G606" s="33" t="n">
        <x:v>7800</x:v>
      </x:c>
      <x:c r="H606" s="34" t="str">
        <x:v>recurring</x:v>
      </x:c>
      <x:c r="I606" s="33" t="n">
        <x:v>7800</x:v>
      </x:c>
      <x:c r="J606" s="35" t="str">
        <x:v>Planning allowance; written quote needed</x:v>
      </x:c>
      <x:c r="K606" s="36" t="str">
        <x:v>ALLOW</x:v>
      </x:c>
      <x:c r="L606" s="37" t="n">
        <x:f>ROUND(E606*F606,2)</x:f>
        <x:v>7800</x:v>
      </x:c>
      <x:c r="M606" s="37" t="n">
        <x:f>ROUND(E606*G606,2)</x:f>
        <x:v>7800</x:v>
      </x:c>
      <x:c r="N606" s="37" t="n">
        <x:f>ROUND(E606*I606,2)</x:f>
        <x:v>7800</x:v>
      </x:c>
      <x:c r="O606" s="18" t="str">
        <x:v>Employer contribution allowance. Includes part-time seats13/14 voluntarily; insurer/eligibility must confirm.</x:v>
      </x:c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ht="48" customHeight="1">
      <x:c r="A607" s="1" t="str">
        <x:v>STA-13-DENT</x:v>
      </x:c>
      <x:c r="B607" s="1" t="str">
        <x:v>Staff</x:v>
      </x:c>
      <x:c r="C607" s="18" t="str">
        <x:v>Employee 13 | Office administrator | dental</x:v>
      </x:c>
      <x:c r="D607" s="18" t="str">
        <x:v>employee-year</x:v>
      </x:c>
      <x:c r="E607" s="32" t="n">
        <x:v>1</x:v>
      </x:c>
      <x:c r="F607" s="33" t="n">
        <x:v>660</x:v>
      </x:c>
      <x:c r="G607" s="33" t="n">
        <x:v>660</x:v>
      </x:c>
      <x:c r="H607" s="34" t="str">
        <x:v>recurring</x:v>
      </x:c>
      <x:c r="I607" s="33" t="n">
        <x:v>660</x:v>
      </x:c>
      <x:c r="J607" s="35" t="str">
        <x:v>Planning allowance; written quote needed</x:v>
      </x:c>
      <x:c r="K607" s="36" t="str">
        <x:v>ALLOW</x:v>
      </x:c>
      <x:c r="L607" s="37" t="n">
        <x:f>ROUND(E607*F607,2)</x:f>
        <x:v>660</x:v>
      </x:c>
      <x:c r="M607" s="37" t="n">
        <x:f>ROUND(E607*G607,2)</x:f>
        <x:v>660</x:v>
      </x:c>
      <x:c r="N607" s="37" t="n">
        <x:f>ROUND(E607*I607,2)</x:f>
        <x:v>660</x:v>
      </x:c>
      <x:c r="O607" s="18" t="str">
        <x:v>Employer contribution allowance. Includes part-time seats13/14 voluntarily; insurer/eligibility must confirm.</x:v>
      </x:c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ht="48" customHeight="1">
      <x:c r="A608" s="1" t="str">
        <x:v>STA-13-VISION</x:v>
      </x:c>
      <x:c r="B608" s="1" t="str">
        <x:v>Staff</x:v>
      </x:c>
      <x:c r="C608" s="18" t="str">
        <x:v>Employee 13 | Office administrator | vision</x:v>
      </x:c>
      <x:c r="D608" s="18" t="str">
        <x:v>employee-year</x:v>
      </x:c>
      <x:c r="E608" s="32" t="n">
        <x:v>1</x:v>
      </x:c>
      <x:c r="F608" s="33" t="n">
        <x:v>240</x:v>
      </x:c>
      <x:c r="G608" s="33" t="n">
        <x:v>240</x:v>
      </x:c>
      <x:c r="H608" s="34" t="str">
        <x:v>recurring</x:v>
      </x:c>
      <x:c r="I608" s="33" t="n">
        <x:v>240</x:v>
      </x:c>
      <x:c r="J608" s="35" t="str">
        <x:v>Planning allowance; written quote needed</x:v>
      </x:c>
      <x:c r="K608" s="36" t="str">
        <x:v>ALLOW</x:v>
      </x:c>
      <x:c r="L608" s="37" t="n">
        <x:f>ROUND(E608*F608,2)</x:f>
        <x:v>240</x:v>
      </x:c>
      <x:c r="M608" s="37" t="n">
        <x:f>ROUND(E608*G608,2)</x:f>
        <x:v>240</x:v>
      </x:c>
      <x:c r="N608" s="37" t="n">
        <x:f>ROUND(E608*I608,2)</x:f>
        <x:v>240</x:v>
      </x:c>
      <x:c r="O608" s="18" t="str">
        <x:v>Employer contribution allowance. Includes part-time seats13/14 voluntarily; insurer/eligibility must confirm.</x:v>
      </x:c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ht="48" customHeight="1">
      <x:c r="A609" s="1" t="str">
        <x:v>STA-14-WAGE</x:v>
      </x:c>
      <x:c r="B609" s="1" t="str">
        <x:v>Staff</x:v>
      </x:c>
      <x:c r="C609" s="18" t="str">
        <x:v>Employee 14 | Cleaner | wages</x:v>
      </x:c>
      <x:c r="D609" s="18" t="str">
        <x:v>paid hour</x:v>
      </x:c>
      <x:c r="E609" s="32" t="n">
        <x:v>1300</x:v>
      </x:c>
      <x:c r="F609" s="33" t="n">
        <x:v>17.48</x:v>
      </x:c>
      <x:c r="G609" s="33" t="n">
        <x:v>19.48</x:v>
      </x:c>
      <x:c r="H609" s="34" t="str">
        <x:v>recurring</x:v>
      </x:c>
      <x:c r="I609" s="33" t="n">
        <x:v>23.376</x:v>
      </x:c>
      <x:c r="J609" s="35" t="str">
        <x:v>Local 75th percentile wage benchmark</x:v>
      </x:c>
      <x:c r="K609" s="36" t="str">
        <x:v>CLEAN</x:v>
      </x:c>
      <x:c r="L609" s="37" t="n">
        <x:f>ROUND(E609*F609,2)</x:f>
        <x:v>22724</x:v>
      </x:c>
      <x:c r="M609" s="37" t="n">
        <x:f>ROUND(E609*G609,2)</x:f>
        <x:v>25324</x:v>
      </x:c>
      <x:c r="N609" s="37" t="n">
        <x:f>ROUND(E609*I609,2)</x:f>
        <x:v>30388.8</x:v>
      </x:c>
      <x:c r="O609" s="18" t="str">
        <x:v>40h/week max; PTO/training within paid hours. Wage high=20% above base, sensitivity not observed percentile.</x:v>
      </x:c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ht="48" customHeight="1">
      <x:c r="A610" s="1" t="str">
        <x:v>STA-14-SS</x:v>
      </x:c>
      <x:c r="B610" s="1" t="str">
        <x:v>Staff</x:v>
      </x:c>
      <x:c r="C610" s="18" t="str">
        <x:v>Employee 14 | Cleaner | employer Social Security</x:v>
      </x:c>
      <x:c r="D610" s="18" t="str">
        <x:v>employee-year</x:v>
      </x:c>
      <x:c r="E610" s="32" t="n">
        <x:v>1</x:v>
      </x:c>
      <x:c r="F610" s="38" t="n">
        <x:f>ROUND(MIN(L609,184500)*0.062,2)</x:f>
        <x:v>1408.89</x:v>
      </x:c>
      <x:c r="G610" s="38" t="n">
        <x:f>ROUND(MIN(M609,184500)*0.062,2)</x:f>
        <x:v>1570.09</x:v>
      </x:c>
      <x:c r="H610" s="34" t="str">
        <x:v>recurring</x:v>
      </x:c>
      <x:c r="I610" s="38" t="n">
        <x:f>ROUND(MIN(N609,184500)*0.062,2)</x:f>
        <x:v>1884.11</x:v>
      </x:c>
      <x:c r="J610" s="35" t="str">
        <x:v>Published rate × assumed quantity</x:v>
      </x:c>
      <x:c r="K610" s="36" t="str">
        <x:v>IRS</x:v>
      </x:c>
      <x:c r="L610" s="37" t="n">
        <x:f>ROUND(E610*F610,2)</x:f>
        <x:v>1408.89</x:v>
      </x:c>
      <x:c r="M610" s="37" t="n">
        <x:f>ROUND(E610*G610,2)</x:f>
        <x:v>1570.09</x:v>
      </x:c>
      <x:c r="N610" s="37" t="n">
        <x:f>ROUND(E610*I610,2)</x:f>
        <x:v>1884.11</x:v>
      </x:c>
      <x:c r="O610" s="18" t="str">
        <x:v>Rate 6.2000%; cap $184,500. WC 2% and retirement3% allowances.</x:v>
      </x:c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ht="48" customHeight="1">
      <x:c r="A611" s="1" t="str">
        <x:v>STA-14-MED</x:v>
      </x:c>
      <x:c r="B611" s="1" t="str">
        <x:v>Staff</x:v>
      </x:c>
      <x:c r="C611" s="18" t="str">
        <x:v>Employee 14 | Cleaner | employer Medicare</x:v>
      </x:c>
      <x:c r="D611" s="18" t="str">
        <x:v>employee-year</x:v>
      </x:c>
      <x:c r="E611" s="32" t="n">
        <x:v>1</x:v>
      </x:c>
      <x:c r="F611" s="38" t="n">
        <x:f>ROUND(L609*0.0145,2)</x:f>
        <x:v>329.5</x:v>
      </x:c>
      <x:c r="G611" s="38" t="n">
        <x:f>ROUND(M609*0.0145,2)</x:f>
        <x:v>367.2</x:v>
      </x:c>
      <x:c r="H611" s="34" t="str">
        <x:v>recurring</x:v>
      </x:c>
      <x:c r="I611" s="38" t="n">
        <x:f>ROUND(N609*0.0145,2)</x:f>
        <x:v>440.64</x:v>
      </x:c>
      <x:c r="J611" s="35" t="str">
        <x:v>Published rate × assumed quantity</x:v>
      </x:c>
      <x:c r="K611" s="36" t="str">
        <x:v>IRS</x:v>
      </x:c>
      <x:c r="L611" s="37" t="n">
        <x:f>ROUND(E611*F611,2)</x:f>
        <x:v>329.5</x:v>
      </x:c>
      <x:c r="M611" s="37" t="n">
        <x:f>ROUND(E611*G611,2)</x:f>
        <x:v>367.2</x:v>
      </x:c>
      <x:c r="N611" s="37" t="n">
        <x:f>ROUND(E611*I611,2)</x:f>
        <x:v>440.64</x:v>
      </x:c>
      <x:c r="O611" s="18" t="str">
        <x:v>Rate 1.4500%; Applied to modeled wages. WC 2% and retirement3% allowances.</x:v>
      </x:c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ht="48" customHeight="1">
      <x:c r="A612" s="1" t="str">
        <x:v>STA-14-FUTA</x:v>
      </x:c>
      <x:c r="B612" s="1" t="str">
        <x:v>Staff</x:v>
      </x:c>
      <x:c r="C612" s="18" t="str">
        <x:v>Employee 14 | Cleaner | employer FUTA</x:v>
      </x:c>
      <x:c r="D612" s="18" t="str">
        <x:v>employee-year</x:v>
      </x:c>
      <x:c r="E612" s="32" t="n">
        <x:v>1</x:v>
      </x:c>
      <x:c r="F612" s="38" t="n">
        <x:f>ROUND(MIN(L609,7000)*0.006,2)</x:f>
        <x:v>42</x:v>
      </x:c>
      <x:c r="G612" s="38" t="n">
        <x:f>ROUND(MIN(M609,7000)*0.006,2)</x:f>
        <x:v>42</x:v>
      </x:c>
      <x:c r="H612" s="34" t="str">
        <x:v>recurring</x:v>
      </x:c>
      <x:c r="I612" s="38" t="n">
        <x:f>ROUND(MIN(N609,7000)*0.006,2)</x:f>
        <x:v>42</x:v>
      </x:c>
      <x:c r="J612" s="35" t="str">
        <x:v>Published rate × assumed quantity</x:v>
      </x:c>
      <x:c r="K612" s="36" t="str">
        <x:v>FUTA</x:v>
      </x:c>
      <x:c r="L612" s="37" t="n">
        <x:f>ROUND(E612*F612,2)</x:f>
        <x:v>42</x:v>
      </x:c>
      <x:c r="M612" s="37" t="n">
        <x:f>ROUND(E612*G612,2)</x:f>
        <x:v>42</x:v>
      </x:c>
      <x:c r="N612" s="37" t="n">
        <x:f>ROUND(E612*I612,2)</x:f>
        <x:v>42</x:v>
      </x:c>
      <x:c r="O612" s="18" t="str">
        <x:v>Rate 0.6000%; cap $7,000. WC 2% and retirement3% allowances.</x:v>
      </x:c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ht="48" customHeight="1">
      <x:c r="A613" s="1" t="str">
        <x:v>STA-14-UI</x:v>
      </x:c>
      <x:c r="B613" s="1" t="str">
        <x:v>Staff</x:v>
      </x:c>
      <x:c r="C613" s="18" t="str">
        <x:v>Employee 14 | Cleaner | employer Missouri unemployment</x:v>
      </x:c>
      <x:c r="D613" s="18" t="str">
        <x:v>employee-year</x:v>
      </x:c>
      <x:c r="E613" s="32" t="n">
        <x:v>1</x:v>
      </x:c>
      <x:c r="F613" s="38" t="n">
        <x:f>ROUND(MIN(L609,9000)*0.02376,2)</x:f>
        <x:v>213.84</x:v>
      </x:c>
      <x:c r="G613" s="38" t="n">
        <x:f>ROUND(MIN(M609,9000)*0.02376,2)</x:f>
        <x:v>213.84</x:v>
      </x:c>
      <x:c r="H613" s="34" t="str">
        <x:v>recurring</x:v>
      </x:c>
      <x:c r="I613" s="38" t="n">
        <x:f>ROUND(MIN(N609,9000)*0.02376,2)</x:f>
        <x:v>213.84</x:v>
      </x:c>
      <x:c r="J613" s="35" t="str">
        <x:v>Published rate × assumed quantity</x:v>
      </x:c>
      <x:c r="K613" s="36" t="str">
        <x:v>MOUI</x:v>
      </x:c>
      <x:c r="L613" s="37" t="n">
        <x:f>ROUND(E613*F613,2)</x:f>
        <x:v>213.84</x:v>
      </x:c>
      <x:c r="M613" s="37" t="n">
        <x:f>ROUND(E613*G613,2)</x:f>
        <x:v>213.84</x:v>
      </x:c>
      <x:c r="N613" s="37" t="n">
        <x:f>ROUND(E613*I613,2)</x:f>
        <x:v>213.84</x:v>
      </x:c>
      <x:c r="O613" s="18" t="str">
        <x:v>Rate 2.3760%; cap $9,000. WC 2% and retirement3% allowances.</x:v>
      </x:c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ht="48" customHeight="1">
      <x:c r="A614" s="1" t="str">
        <x:v>STA-14-WC</x:v>
      </x:c>
      <x:c r="B614" s="1" t="str">
        <x:v>Staff</x:v>
      </x:c>
      <x:c r="C614" s="18" t="str">
        <x:v>Employee 14 | Cleaner | employer workers compensation</x:v>
      </x:c>
      <x:c r="D614" s="18" t="str">
        <x:v>employee-year</x:v>
      </x:c>
      <x:c r="E614" s="32" t="n">
        <x:v>1</x:v>
      </x:c>
      <x:c r="F614" s="38" t="n">
        <x:f>ROUND(L609*0.02,2)</x:f>
        <x:v>454.48</x:v>
      </x:c>
      <x:c r="G614" s="38" t="n">
        <x:f>ROUND(M609*0.02,2)</x:f>
        <x:v>506.48</x:v>
      </x:c>
      <x:c r="H614" s="34" t="str">
        <x:v>recurring</x:v>
      </x:c>
      <x:c r="I614" s="38" t="n">
        <x:f>ROUND(N609*0.02,2)</x:f>
        <x:v>607.78</x:v>
      </x:c>
      <x:c r="J614" s="35" t="str">
        <x:v>Planning allowance; written quote needed</x:v>
      </x:c>
      <x:c r="K614" s="36" t="str">
        <x:v>ALLOW</x:v>
      </x:c>
      <x:c r="L614" s="37" t="n">
        <x:f>ROUND(E614*F614,2)</x:f>
        <x:v>454.48</x:v>
      </x:c>
      <x:c r="M614" s="37" t="n">
        <x:f>ROUND(E614*G614,2)</x:f>
        <x:v>506.48</x:v>
      </x:c>
      <x:c r="N614" s="37" t="n">
        <x:f>ROUND(E614*I614,2)</x:f>
        <x:v>607.78</x:v>
      </x:c>
      <x:c r="O614" s="18" t="str">
        <x:v>Rate 2.0000%; Applied to modeled wages. WC 2% and retirement3% allowances.</x:v>
      </x:c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ht="48" customHeight="1">
      <x:c r="A615" s="1" t="str">
        <x:v>STA-14-RET</x:v>
      </x:c>
      <x:c r="B615" s="1" t="str">
        <x:v>Staff</x:v>
      </x:c>
      <x:c r="C615" s="18" t="str">
        <x:v>Employee 14 | Cleaner | employer retirement match</x:v>
      </x:c>
      <x:c r="D615" s="18" t="str">
        <x:v>employee-year</x:v>
      </x:c>
      <x:c r="E615" s="32" t="n">
        <x:v>1</x:v>
      </x:c>
      <x:c r="F615" s="38" t="n">
        <x:f>ROUND(L609*0.03,2)</x:f>
        <x:v>681.72</x:v>
      </x:c>
      <x:c r="G615" s="38" t="n">
        <x:f>ROUND(M609*0.03,2)</x:f>
        <x:v>759.72</x:v>
      </x:c>
      <x:c r="H615" s="34" t="str">
        <x:v>recurring</x:v>
      </x:c>
      <x:c r="I615" s="38" t="n">
        <x:f>ROUND(N609*0.03,2)</x:f>
        <x:v>911.66</x:v>
      </x:c>
      <x:c r="J615" s="35" t="str">
        <x:v>Planning allowance; written quote needed</x:v>
      </x:c>
      <x:c r="K615" s="36" t="str">
        <x:v>ALLOW</x:v>
      </x:c>
      <x:c r="L615" s="37" t="n">
        <x:f>ROUND(E615*F615,2)</x:f>
        <x:v>681.72</x:v>
      </x:c>
      <x:c r="M615" s="37" t="n">
        <x:f>ROUND(E615*G615,2)</x:f>
        <x:v>759.72</x:v>
      </x:c>
      <x:c r="N615" s="37" t="n">
        <x:f>ROUND(E615*I615,2)</x:f>
        <x:v>911.66</x:v>
      </x:c>
      <x:c r="O615" s="18" t="str">
        <x:v>Rate 3.0000%; Applied to modeled wages. WC 2% and retirement3% allowances.</x:v>
      </x:c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ht="48" customHeight="1">
      <x:c r="A616" s="1" t="str">
        <x:v>STA-14-HEALTH</x:v>
      </x:c>
      <x:c r="B616" s="1" t="str">
        <x:v>Staff</x:v>
      </x:c>
      <x:c r="C616" s="18" t="str">
        <x:v>Employee 14 | Cleaner | health coverage</x:v>
      </x:c>
      <x:c r="D616" s="18" t="str">
        <x:v>employee-year</x:v>
      </x:c>
      <x:c r="E616" s="32" t="n">
        <x:v>1</x:v>
      </x:c>
      <x:c r="F616" s="33" t="n">
        <x:v>7800</x:v>
      </x:c>
      <x:c r="G616" s="33" t="n">
        <x:v>7800</x:v>
      </x:c>
      <x:c r="H616" s="34" t="str">
        <x:v>recurring</x:v>
      </x:c>
      <x:c r="I616" s="33" t="n">
        <x:v>7800</x:v>
      </x:c>
      <x:c r="J616" s="35" t="str">
        <x:v>Planning allowance; written quote needed</x:v>
      </x:c>
      <x:c r="K616" s="36" t="str">
        <x:v>ALLOW</x:v>
      </x:c>
      <x:c r="L616" s="37" t="n">
        <x:f>ROUND(E616*F616,2)</x:f>
        <x:v>7800</x:v>
      </x:c>
      <x:c r="M616" s="37" t="n">
        <x:f>ROUND(E616*G616,2)</x:f>
        <x:v>7800</x:v>
      </x:c>
      <x:c r="N616" s="37" t="n">
        <x:f>ROUND(E616*I616,2)</x:f>
        <x:v>7800</x:v>
      </x:c>
      <x:c r="O616" s="18" t="str">
        <x:v>Employer contribution allowance. Includes part-time seats13/14 voluntarily; insurer/eligibility must confirm.</x:v>
      </x:c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ht="48" customHeight="1">
      <x:c r="A617" s="1" t="str">
        <x:v>STA-14-DENT</x:v>
      </x:c>
      <x:c r="B617" s="1" t="str">
        <x:v>Staff</x:v>
      </x:c>
      <x:c r="C617" s="18" t="str">
        <x:v>Employee 14 | Cleaner | dental</x:v>
      </x:c>
      <x:c r="D617" s="18" t="str">
        <x:v>employee-year</x:v>
      </x:c>
      <x:c r="E617" s="32" t="n">
        <x:v>1</x:v>
      </x:c>
      <x:c r="F617" s="33" t="n">
        <x:v>660</x:v>
      </x:c>
      <x:c r="G617" s="33" t="n">
        <x:v>660</x:v>
      </x:c>
      <x:c r="H617" s="34" t="str">
        <x:v>recurring</x:v>
      </x:c>
      <x:c r="I617" s="33" t="n">
        <x:v>660</x:v>
      </x:c>
      <x:c r="J617" s="35" t="str">
        <x:v>Planning allowance; written quote needed</x:v>
      </x:c>
      <x:c r="K617" s="36" t="str">
        <x:v>ALLOW</x:v>
      </x:c>
      <x:c r="L617" s="37" t="n">
        <x:f>ROUND(E617*F617,2)</x:f>
        <x:v>660</x:v>
      </x:c>
      <x:c r="M617" s="37" t="n">
        <x:f>ROUND(E617*G617,2)</x:f>
        <x:v>660</x:v>
      </x:c>
      <x:c r="N617" s="37" t="n">
        <x:f>ROUND(E617*I617,2)</x:f>
        <x:v>660</x:v>
      </x:c>
      <x:c r="O617" s="18" t="str">
        <x:v>Employer contribution allowance. Includes part-time seats13/14 voluntarily; insurer/eligibility must confirm.</x:v>
      </x:c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ht="48" customHeight="1">
      <x:c r="A618" s="1" t="str">
        <x:v>STA-14-VISION</x:v>
      </x:c>
      <x:c r="B618" s="1" t="str">
        <x:v>Staff</x:v>
      </x:c>
      <x:c r="C618" s="18" t="str">
        <x:v>Employee 14 | Cleaner | vision</x:v>
      </x:c>
      <x:c r="D618" s="18" t="str">
        <x:v>employee-year</x:v>
      </x:c>
      <x:c r="E618" s="32" t="n">
        <x:v>1</x:v>
      </x:c>
      <x:c r="F618" s="33" t="n">
        <x:v>240</x:v>
      </x:c>
      <x:c r="G618" s="33" t="n">
        <x:v>240</x:v>
      </x:c>
      <x:c r="H618" s="34" t="str">
        <x:v>recurring</x:v>
      </x:c>
      <x:c r="I618" s="33" t="n">
        <x:v>240</x:v>
      </x:c>
      <x:c r="J618" s="35" t="str">
        <x:v>Planning allowance; written quote needed</x:v>
      </x:c>
      <x:c r="K618" s="36" t="str">
        <x:v>ALLOW</x:v>
      </x:c>
      <x:c r="L618" s="37" t="n">
        <x:f>ROUND(E618*F618,2)</x:f>
        <x:v>240</x:v>
      </x:c>
      <x:c r="M618" s="37" t="n">
        <x:f>ROUND(E618*G618,2)</x:f>
        <x:v>240</x:v>
      </x:c>
      <x:c r="N618" s="37" t="n">
        <x:f>ROUND(E618*I618,2)</x:f>
        <x:v>240</x:v>
      </x:c>
      <x:c r="O618" s="18" t="str">
        <x:v>Employer contribution allowance. Includes part-time seats13/14 voluntarily; insurer/eligibility must confirm.</x:v>
      </x:c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ht="48" customHeight="1">
      <x:c r="A619" s="1" t="str">
        <x:v>STA-15-WAGE</x:v>
      </x:c>
      <x:c r="B619" s="1" t="str">
        <x:v>Staff</x:v>
      </x:c>
      <x:c r="C619" s="18" t="str">
        <x:v>Employee 15 | Family support specialist | wages</x:v>
      </x:c>
      <x:c r="D619" s="18" t="str">
        <x:v>paid hour</x:v>
      </x:c>
      <x:c r="E619" s="32" t="n">
        <x:v>2080</x:v>
      </x:c>
      <x:c r="F619" s="33" t="n">
        <x:v>22.5</x:v>
      </x:c>
      <x:c r="G619" s="33" t="n">
        <x:v>25.77</x:v>
      </x:c>
      <x:c r="H619" s="34" t="str">
        <x:v>recurring</x:v>
      </x:c>
      <x:c r="I619" s="33" t="n">
        <x:v>30.924</x:v>
      </x:c>
      <x:c r="J619" s="35" t="str">
        <x:v>Local 75th percentile wage benchmark</x:v>
      </x:c>
      <x:c r="K619" s="36" t="str">
        <x:v>ADMIN</x:v>
      </x:c>
      <x:c r="L619" s="37" t="n">
        <x:f>ROUND(E619*F619,2)</x:f>
        <x:v>46800</x:v>
      </x:c>
      <x:c r="M619" s="37" t="n">
        <x:f>ROUND(E619*G619,2)</x:f>
        <x:v>53601.6</x:v>
      </x:c>
      <x:c r="N619" s="37" t="n">
        <x:f>ROUND(E619*I619,2)</x:f>
        <x:v>64321.92</x:v>
      </x:c>
      <x:c r="O619" s="18" t="str">
        <x:v>40h/week max; PTO/training within paid hours. Wage high=20% above base, sensitivity not observed percentile.</x:v>
      </x:c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ht="48" customHeight="1">
      <x:c r="A620" s="1" t="str">
        <x:v>STA-15-SS</x:v>
      </x:c>
      <x:c r="B620" s="1" t="str">
        <x:v>Staff</x:v>
      </x:c>
      <x:c r="C620" s="18" t="str">
        <x:v>Employee 15 | Family support specialist | employer Social Security</x:v>
      </x:c>
      <x:c r="D620" s="18" t="str">
        <x:v>employee-year</x:v>
      </x:c>
      <x:c r="E620" s="32" t="n">
        <x:v>1</x:v>
      </x:c>
      <x:c r="F620" s="38" t="n">
        <x:f>ROUND(MIN(L619,184500)*0.062,2)</x:f>
        <x:v>2901.6</x:v>
      </x:c>
      <x:c r="G620" s="38" t="n">
        <x:f>ROUND(MIN(M619,184500)*0.062,2)</x:f>
        <x:v>3323.3</x:v>
      </x:c>
      <x:c r="H620" s="34" t="str">
        <x:v>recurring</x:v>
      </x:c>
      <x:c r="I620" s="38" t="n">
        <x:f>ROUND(MIN(N619,184500)*0.062,2)</x:f>
        <x:v>3987.96</x:v>
      </x:c>
      <x:c r="J620" s="35" t="str">
        <x:v>Published rate × assumed quantity</x:v>
      </x:c>
      <x:c r="K620" s="36" t="str">
        <x:v>IRS</x:v>
      </x:c>
      <x:c r="L620" s="37" t="n">
        <x:f>ROUND(E620*F620,2)</x:f>
        <x:v>2901.6</x:v>
      </x:c>
      <x:c r="M620" s="37" t="n">
        <x:f>ROUND(E620*G620,2)</x:f>
        <x:v>3323.3</x:v>
      </x:c>
      <x:c r="N620" s="37" t="n">
        <x:f>ROUND(E620*I620,2)</x:f>
        <x:v>3987.96</x:v>
      </x:c>
      <x:c r="O620" s="18" t="str">
        <x:v>Rate 6.2000%; cap $184,500. WC 2% and retirement3% allowances.</x:v>
      </x:c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ht="48" customHeight="1">
      <x:c r="A621" s="1" t="str">
        <x:v>STA-15-MED</x:v>
      </x:c>
      <x:c r="B621" s="1" t="str">
        <x:v>Staff</x:v>
      </x:c>
      <x:c r="C621" s="18" t="str">
        <x:v>Employee 15 | Family support specialist | employer Medicare</x:v>
      </x:c>
      <x:c r="D621" s="18" t="str">
        <x:v>employee-year</x:v>
      </x:c>
      <x:c r="E621" s="32" t="n">
        <x:v>1</x:v>
      </x:c>
      <x:c r="F621" s="38" t="n">
        <x:f>ROUND(L619*0.0145,2)</x:f>
        <x:v>678.6</x:v>
      </x:c>
      <x:c r="G621" s="38" t="n">
        <x:f>ROUND(M619*0.0145,2)</x:f>
        <x:v>777.22</x:v>
      </x:c>
      <x:c r="H621" s="34" t="str">
        <x:v>recurring</x:v>
      </x:c>
      <x:c r="I621" s="38" t="n">
        <x:f>ROUND(N619*0.0145,2)</x:f>
        <x:v>932.67</x:v>
      </x:c>
      <x:c r="J621" s="35" t="str">
        <x:v>Published rate × assumed quantity</x:v>
      </x:c>
      <x:c r="K621" s="36" t="str">
        <x:v>IRS</x:v>
      </x:c>
      <x:c r="L621" s="37" t="n">
        <x:f>ROUND(E621*F621,2)</x:f>
        <x:v>678.6</x:v>
      </x:c>
      <x:c r="M621" s="37" t="n">
        <x:f>ROUND(E621*G621,2)</x:f>
        <x:v>777.22</x:v>
      </x:c>
      <x:c r="N621" s="37" t="n">
        <x:f>ROUND(E621*I621,2)</x:f>
        <x:v>932.67</x:v>
      </x:c>
      <x:c r="O621" s="18" t="str">
        <x:v>Rate 1.4500%; Applied to modeled wages. WC 2% and retirement3% allowances.</x:v>
      </x:c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ht="48" customHeight="1">
      <x:c r="A622" s="1" t="str">
        <x:v>STA-15-FUTA</x:v>
      </x:c>
      <x:c r="B622" s="1" t="str">
        <x:v>Staff</x:v>
      </x:c>
      <x:c r="C622" s="18" t="str">
        <x:v>Employee 15 | Family support specialist | employer FUTA</x:v>
      </x:c>
      <x:c r="D622" s="18" t="str">
        <x:v>employee-year</x:v>
      </x:c>
      <x:c r="E622" s="32" t="n">
        <x:v>1</x:v>
      </x:c>
      <x:c r="F622" s="38" t="n">
        <x:f>ROUND(MIN(L619,7000)*0.006,2)</x:f>
        <x:v>42</x:v>
      </x:c>
      <x:c r="G622" s="38" t="n">
        <x:f>ROUND(MIN(M619,7000)*0.006,2)</x:f>
        <x:v>42</x:v>
      </x:c>
      <x:c r="H622" s="34" t="str">
        <x:v>recurring</x:v>
      </x:c>
      <x:c r="I622" s="38" t="n">
        <x:f>ROUND(MIN(N619,7000)*0.006,2)</x:f>
        <x:v>42</x:v>
      </x:c>
      <x:c r="J622" s="35" t="str">
        <x:v>Published rate × assumed quantity</x:v>
      </x:c>
      <x:c r="K622" s="36" t="str">
        <x:v>FUTA</x:v>
      </x:c>
      <x:c r="L622" s="37" t="n">
        <x:f>ROUND(E622*F622,2)</x:f>
        <x:v>42</x:v>
      </x:c>
      <x:c r="M622" s="37" t="n">
        <x:f>ROUND(E622*G622,2)</x:f>
        <x:v>42</x:v>
      </x:c>
      <x:c r="N622" s="37" t="n">
        <x:f>ROUND(E622*I622,2)</x:f>
        <x:v>42</x:v>
      </x:c>
      <x:c r="O622" s="18" t="str">
        <x:v>Rate 0.6000%; cap $7,000. WC 2% and retirement3% allowances.</x:v>
      </x:c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ht="48" customHeight="1">
      <x:c r="A623" s="1" t="str">
        <x:v>STA-15-UI</x:v>
      </x:c>
      <x:c r="B623" s="1" t="str">
        <x:v>Staff</x:v>
      </x:c>
      <x:c r="C623" s="18" t="str">
        <x:v>Employee 15 | Family support specialist | employer Missouri unemployment</x:v>
      </x:c>
      <x:c r="D623" s="18" t="str">
        <x:v>employee-year</x:v>
      </x:c>
      <x:c r="E623" s="32" t="n">
        <x:v>1</x:v>
      </x:c>
      <x:c r="F623" s="38" t="n">
        <x:f>ROUND(MIN(L619,9000)*0.02376,2)</x:f>
        <x:v>213.84</x:v>
      </x:c>
      <x:c r="G623" s="38" t="n">
        <x:f>ROUND(MIN(M619,9000)*0.02376,2)</x:f>
        <x:v>213.84</x:v>
      </x:c>
      <x:c r="H623" s="34" t="str">
        <x:v>recurring</x:v>
      </x:c>
      <x:c r="I623" s="38" t="n">
        <x:f>ROUND(MIN(N619,9000)*0.02376,2)</x:f>
        <x:v>213.84</x:v>
      </x:c>
      <x:c r="J623" s="35" t="str">
        <x:v>Published rate × assumed quantity</x:v>
      </x:c>
      <x:c r="K623" s="36" t="str">
        <x:v>MOUI</x:v>
      </x:c>
      <x:c r="L623" s="37" t="n">
        <x:f>ROUND(E623*F623,2)</x:f>
        <x:v>213.84</x:v>
      </x:c>
      <x:c r="M623" s="37" t="n">
        <x:f>ROUND(E623*G623,2)</x:f>
        <x:v>213.84</x:v>
      </x:c>
      <x:c r="N623" s="37" t="n">
        <x:f>ROUND(E623*I623,2)</x:f>
        <x:v>213.84</x:v>
      </x:c>
      <x:c r="O623" s="18" t="str">
        <x:v>Rate 2.3760%; cap $9,000. WC 2% and retirement3% allowances.</x:v>
      </x:c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ht="48" customHeight="1">
      <x:c r="A624" s="1" t="str">
        <x:v>STA-15-WC</x:v>
      </x:c>
      <x:c r="B624" s="1" t="str">
        <x:v>Staff</x:v>
      </x:c>
      <x:c r="C624" s="18" t="str">
        <x:v>Employee 15 | Family support specialist | employer workers compensation</x:v>
      </x:c>
      <x:c r="D624" s="18" t="str">
        <x:v>employee-year</x:v>
      </x:c>
      <x:c r="E624" s="32" t="n">
        <x:v>1</x:v>
      </x:c>
      <x:c r="F624" s="38" t="n">
        <x:f>ROUND(L619*0.02,2)</x:f>
        <x:v>936</x:v>
      </x:c>
      <x:c r="G624" s="38" t="n">
        <x:f>ROUND(M619*0.02,2)</x:f>
        <x:v>1072.03</x:v>
      </x:c>
      <x:c r="H624" s="34" t="str">
        <x:v>recurring</x:v>
      </x:c>
      <x:c r="I624" s="38" t="n">
        <x:f>ROUND(N619*0.02,2)</x:f>
        <x:v>1286.44</x:v>
      </x:c>
      <x:c r="J624" s="35" t="str">
        <x:v>Planning allowance; written quote needed</x:v>
      </x:c>
      <x:c r="K624" s="36" t="str">
        <x:v>ALLOW</x:v>
      </x:c>
      <x:c r="L624" s="37" t="n">
        <x:f>ROUND(E624*F624,2)</x:f>
        <x:v>936</x:v>
      </x:c>
      <x:c r="M624" s="37" t="n">
        <x:f>ROUND(E624*G624,2)</x:f>
        <x:v>1072.03</x:v>
      </x:c>
      <x:c r="N624" s="37" t="n">
        <x:f>ROUND(E624*I624,2)</x:f>
        <x:v>1286.44</x:v>
      </x:c>
      <x:c r="O624" s="18" t="str">
        <x:v>Rate 2.0000%; Applied to modeled wages. WC 2% and retirement3% allowances.</x:v>
      </x:c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ht="48" customHeight="1">
      <x:c r="A625" s="1" t="str">
        <x:v>STA-15-RET</x:v>
      </x:c>
      <x:c r="B625" s="1" t="str">
        <x:v>Staff</x:v>
      </x:c>
      <x:c r="C625" s="18" t="str">
        <x:v>Employee 15 | Family support specialist | employer retirement match</x:v>
      </x:c>
      <x:c r="D625" s="18" t="str">
        <x:v>employee-year</x:v>
      </x:c>
      <x:c r="E625" s="32" t="n">
        <x:v>1</x:v>
      </x:c>
      <x:c r="F625" s="38" t="n">
        <x:f>ROUND(L619*0.03,2)</x:f>
        <x:v>1404</x:v>
      </x:c>
      <x:c r="G625" s="38" t="n">
        <x:f>ROUND(M619*0.03,2)</x:f>
        <x:v>1608.05</x:v>
      </x:c>
      <x:c r="H625" s="34" t="str">
        <x:v>recurring</x:v>
      </x:c>
      <x:c r="I625" s="38" t="n">
        <x:f>ROUND(N619*0.03,2)</x:f>
        <x:v>1929.66</x:v>
      </x:c>
      <x:c r="J625" s="35" t="str">
        <x:v>Planning allowance; written quote needed</x:v>
      </x:c>
      <x:c r="K625" s="36" t="str">
        <x:v>ALLOW</x:v>
      </x:c>
      <x:c r="L625" s="37" t="n">
        <x:f>ROUND(E625*F625,2)</x:f>
        <x:v>1404</x:v>
      </x:c>
      <x:c r="M625" s="37" t="n">
        <x:f>ROUND(E625*G625,2)</x:f>
        <x:v>1608.05</x:v>
      </x:c>
      <x:c r="N625" s="37" t="n">
        <x:f>ROUND(E625*I625,2)</x:f>
        <x:v>1929.66</x:v>
      </x:c>
      <x:c r="O625" s="18" t="str">
        <x:v>Rate 3.0000%; Applied to modeled wages. WC 2% and retirement3% allowances.</x:v>
      </x:c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ht="48" customHeight="1">
      <x:c r="A626" s="1" t="str">
        <x:v>STA-15-HEALTH</x:v>
      </x:c>
      <x:c r="B626" s="1" t="str">
        <x:v>Staff</x:v>
      </x:c>
      <x:c r="C626" s="18" t="str">
        <x:v>Employee 15 | Family support specialist | health coverage</x:v>
      </x:c>
      <x:c r="D626" s="18" t="str">
        <x:v>employee-year</x:v>
      </x:c>
      <x:c r="E626" s="32" t="n">
        <x:v>1</x:v>
      </x:c>
      <x:c r="F626" s="33" t="n">
        <x:v>7800</x:v>
      </x:c>
      <x:c r="G626" s="33" t="n">
        <x:v>7800</x:v>
      </x:c>
      <x:c r="H626" s="34" t="str">
        <x:v>recurring</x:v>
      </x:c>
      <x:c r="I626" s="33" t="n">
        <x:v>7800</x:v>
      </x:c>
      <x:c r="J626" s="35" t="str">
        <x:v>Planning allowance; written quote needed</x:v>
      </x:c>
      <x:c r="K626" s="36" t="str">
        <x:v>ALLOW</x:v>
      </x:c>
      <x:c r="L626" s="37" t="n">
        <x:f>ROUND(E626*F626,2)</x:f>
        <x:v>7800</x:v>
      </x:c>
      <x:c r="M626" s="37" t="n">
        <x:f>ROUND(E626*G626,2)</x:f>
        <x:v>7800</x:v>
      </x:c>
      <x:c r="N626" s="37" t="n">
        <x:f>ROUND(E626*I626,2)</x:f>
        <x:v>7800</x:v>
      </x:c>
      <x:c r="O626" s="18" t="str">
        <x:v>Employer contribution allowance. Includes part-time seats13/14 voluntarily; insurer/eligibility must confirm.</x:v>
      </x:c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ht="48" customHeight="1">
      <x:c r="A627" s="1" t="str">
        <x:v>STA-15-DENT</x:v>
      </x:c>
      <x:c r="B627" s="1" t="str">
        <x:v>Staff</x:v>
      </x:c>
      <x:c r="C627" s="18" t="str">
        <x:v>Employee 15 | Family support specialist | dental</x:v>
      </x:c>
      <x:c r="D627" s="18" t="str">
        <x:v>employee-year</x:v>
      </x:c>
      <x:c r="E627" s="32" t="n">
        <x:v>1</x:v>
      </x:c>
      <x:c r="F627" s="33" t="n">
        <x:v>660</x:v>
      </x:c>
      <x:c r="G627" s="33" t="n">
        <x:v>660</x:v>
      </x:c>
      <x:c r="H627" s="34" t="str">
        <x:v>recurring</x:v>
      </x:c>
      <x:c r="I627" s="33" t="n">
        <x:v>660</x:v>
      </x:c>
      <x:c r="J627" s="35" t="str">
        <x:v>Planning allowance; written quote needed</x:v>
      </x:c>
      <x:c r="K627" s="36" t="str">
        <x:v>ALLOW</x:v>
      </x:c>
      <x:c r="L627" s="37" t="n">
        <x:f>ROUND(E627*F627,2)</x:f>
        <x:v>660</x:v>
      </x:c>
      <x:c r="M627" s="37" t="n">
        <x:f>ROUND(E627*G627,2)</x:f>
        <x:v>660</x:v>
      </x:c>
      <x:c r="N627" s="37" t="n">
        <x:f>ROUND(E627*I627,2)</x:f>
        <x:v>660</x:v>
      </x:c>
      <x:c r="O627" s="18" t="str">
        <x:v>Employer contribution allowance. Includes part-time seats13/14 voluntarily; insurer/eligibility must confirm.</x:v>
      </x:c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ht="48" customHeight="1">
      <x:c r="A628" s="1" t="str">
        <x:v>STA-15-VISION</x:v>
      </x:c>
      <x:c r="B628" s="1" t="str">
        <x:v>Staff</x:v>
      </x:c>
      <x:c r="C628" s="18" t="str">
        <x:v>Employee 15 | Family support specialist | vision</x:v>
      </x:c>
      <x:c r="D628" s="18" t="str">
        <x:v>employee-year</x:v>
      </x:c>
      <x:c r="E628" s="32" t="n">
        <x:v>1</x:v>
      </x:c>
      <x:c r="F628" s="33" t="n">
        <x:v>240</x:v>
      </x:c>
      <x:c r="G628" s="33" t="n">
        <x:v>240</x:v>
      </x:c>
      <x:c r="H628" s="34" t="str">
        <x:v>recurring</x:v>
      </x:c>
      <x:c r="I628" s="33" t="n">
        <x:v>240</x:v>
      </x:c>
      <x:c r="J628" s="35" t="str">
        <x:v>Planning allowance; written quote needed</x:v>
      </x:c>
      <x:c r="K628" s="36" t="str">
        <x:v>ALLOW</x:v>
      </x:c>
      <x:c r="L628" s="37" t="n">
        <x:f>ROUND(E628*F628,2)</x:f>
        <x:v>240</x:v>
      </x:c>
      <x:c r="M628" s="37" t="n">
        <x:f>ROUND(E628*G628,2)</x:f>
        <x:v>240</x:v>
      </x:c>
      <x:c r="N628" s="37" t="n">
        <x:f>ROUND(E628*I628,2)</x:f>
        <x:v>240</x:v>
      </x:c>
      <x:c r="O628" s="18" t="str">
        <x:v>Employer contribution allowance. Includes part-time seats13/14 voluntarily; insurer/eligibility must confirm.</x:v>
      </x:c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ht="48" customHeight="1">
      <x:c r="A629" s="1" t="str">
        <x:v>STA-SUB</x:v>
      </x:c>
      <x:c r="B629" s="1" t="str">
        <x:v>Staff</x:v>
      </x:c>
      <x:c r="C629" s="18" t="str">
        <x:v>Substitute pool | 400 paid coverage hours at all-in allowance</x:v>
      </x:c>
      <x:c r="D629" s="18" t="str">
        <x:v>coverage hour</x:v>
      </x:c>
      <x:c r="E629" s="32" t="n">
        <x:v>400</x:v>
      </x:c>
      <x:c r="F629" s="33" t="n">
        <x:v>25</x:v>
      </x:c>
      <x:c r="G629" s="33" t="n">
        <x:v>25</x:v>
      </x:c>
      <x:c r="H629" s="34" t="str">
        <x:v>recurring</x:v>
      </x:c>
      <x:c r="I629" s="33" t="n">
        <x:v>25</x:v>
      </x:c>
      <x:c r="J629" s="35" t="str">
        <x:v>Planning allowance; written quote needed</x:v>
      </x:c>
      <x:c r="K629" s="36" t="str">
        <x:v>ALLOW</x:v>
      </x:c>
      <x:c r="L629" s="37" t="n">
        <x:f>ROUND(E629*F629,2)</x:f>
        <x:v>10000</x:v>
      </x:c>
      <x:c r="M629" s="37" t="n">
        <x:f>ROUND(E629*G629,2)</x:f>
        <x:v>10000</x:v>
      </x:c>
      <x:c r="N629" s="37" t="n">
        <x:f>ROUND(E629*I629,2)</x:f>
        <x:v>10000</x:v>
      </x:c>
      <x:c r="O629" s="18" t="str">
        <x:v>All-in wage/tax/vendor allowance. Actual license ratios, breaks, PTO and opening schedule may require more hours.</x:v>
      </x:c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ht="48" customHeight="1">
      <x:c r="A630" s="1" t="str">
        <x:v>PLA-001</x:v>
      </x:c>
      <x:c r="B630" s="1" t="str">
        <x:v>Platform completion</x:v>
      </x:c>
      <x:c r="C630" s="18" t="str">
        <x:v>Existing-code acceptance inventory</x:v>
      </x:c>
      <x:c r="D630" s="18" t="str">
        <x:v>engineering/design hour</x:v>
      </x:c>
      <x:c r="E630" s="32" t="n">
        <x:v>40</x:v>
      </x:c>
      <x:c r="F630" s="33" t="n">
        <x:v>125</x:v>
      </x:c>
      <x:c r="G630" s="33" t="n">
        <x:v>175</x:v>
      </x:c>
      <x:c r="H630" s="34" t="str">
        <x:v>one_time</x:v>
      </x:c>
      <x:c r="I630" s="33" t="n">
        <x:v>280</x:v>
      </x:c>
      <x:c r="J630" s="35" t="str">
        <x:v>Planning allowance; written quote needed</x:v>
      </x:c>
      <x:c r="K630" s="36" t="str">
        <x:v>ALLOW</x:v>
      </x:c>
      <x:c r="L630" s="37" t="n">
        <x:f>ROUND(E630*F630,2)</x:f>
        <x:v>5000</x:v>
      </x:c>
      <x:c r="M630" s="37" t="n">
        <x:f>ROUND(E630*G630,2)</x:f>
        <x:v>7000</x:v>
      </x:c>
      <x:c r="N630" s="37" t="n">
        <x:f>ROUND(E630*I630,2)</x:f>
        <x:v>11200</x:v>
      </x:c>
      <x:c r="O630" s="18" t="str">
        <x:v>Assumed effort, not repository-audited vendor quote. Low125/base175 allowances; high280 published Worthwhile comparator. Creator engineering not added again.</x:v>
      </x:c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ht="48" customHeight="1">
      <x:c r="A631" s="1" t="str">
        <x:v>PLA-002</x:v>
      </x:c>
      <x:c r="B631" s="1" t="str">
        <x:v>Platform completion</x:v>
      </x:c>
      <x:c r="C631" s="18" t="str">
        <x:v>Discovery</x:v>
      </x:c>
      <x:c r="D631" s="18" t="str">
        <x:v>engineering/design hour</x:v>
      </x:c>
      <x:c r="E631" s="32" t="n">
        <x:v>40</x:v>
      </x:c>
      <x:c r="F631" s="33" t="n">
        <x:v>125</x:v>
      </x:c>
      <x:c r="G631" s="33" t="n">
        <x:v>175</x:v>
      </x:c>
      <x:c r="H631" s="34" t="str">
        <x:v>one_time</x:v>
      </x:c>
      <x:c r="I631" s="33" t="n">
        <x:v>280</x:v>
      </x:c>
      <x:c r="J631" s="35" t="str">
        <x:v>Planning allowance; written quote needed</x:v>
      </x:c>
      <x:c r="K631" s="36" t="str">
        <x:v>ALLOW</x:v>
      </x:c>
      <x:c r="L631" s="37" t="n">
        <x:f>ROUND(E631*F631,2)</x:f>
        <x:v>5000</x:v>
      </x:c>
      <x:c r="M631" s="37" t="n">
        <x:f>ROUND(E631*G631,2)</x:f>
        <x:v>7000</x:v>
      </x:c>
      <x:c r="N631" s="37" t="n">
        <x:f>ROUND(E631*I631,2)</x:f>
        <x:v>11200</x:v>
      </x:c>
      <x:c r="O631" s="18" t="str">
        <x:v>Assumed effort, not repository-audited vendor quote. Low125/base175 allowances; high280 published Worthwhile comparator. Creator engineering not added again.</x:v>
      </x:c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ht="48" customHeight="1">
      <x:c r="A632" s="1" t="str">
        <x:v>PLA-003</x:v>
      </x:c>
      <x:c r="B632" s="1" t="str">
        <x:v>Platform completion</x:v>
      </x:c>
      <x:c r="C632" s="18" t="str">
        <x:v>Requirements</x:v>
      </x:c>
      <x:c r="D632" s="18" t="str">
        <x:v>engineering/design hour</x:v>
      </x:c>
      <x:c r="E632" s="32" t="n">
        <x:v>40</x:v>
      </x:c>
      <x:c r="F632" s="33" t="n">
        <x:v>125</x:v>
      </x:c>
      <x:c r="G632" s="33" t="n">
        <x:v>175</x:v>
      </x:c>
      <x:c r="H632" s="34" t="str">
        <x:v>one_time</x:v>
      </x:c>
      <x:c r="I632" s="33" t="n">
        <x:v>280</x:v>
      </x:c>
      <x:c r="J632" s="35" t="str">
        <x:v>Planning allowance; written quote needed</x:v>
      </x:c>
      <x:c r="K632" s="36" t="str">
        <x:v>ALLOW</x:v>
      </x:c>
      <x:c r="L632" s="37" t="n">
        <x:f>ROUND(E632*F632,2)</x:f>
        <x:v>5000</x:v>
      </x:c>
      <x:c r="M632" s="37" t="n">
        <x:f>ROUND(E632*G632,2)</x:f>
        <x:v>7000</x:v>
      </x:c>
      <x:c r="N632" s="37" t="n">
        <x:f>ROUND(E632*I632,2)</x:f>
        <x:v>11200</x:v>
      </x:c>
      <x:c r="O632" s="18" t="str">
        <x:v>Assumed effort, not repository-audited vendor quote. Low125/base175 allowances; high280 published Worthwhile comparator. Creator engineering not added again.</x:v>
      </x:c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ht="48" customHeight="1">
      <x:c r="A633" s="1" t="str">
        <x:v>PLA-004</x:v>
      </x:c>
      <x:c r="B633" s="1" t="str">
        <x:v>Platform completion</x:v>
      </x:c>
      <x:c r="C633" s="18" t="str">
        <x:v>Information architecture</x:v>
      </x:c>
      <x:c r="D633" s="18" t="str">
        <x:v>engineering/design hour</x:v>
      </x:c>
      <x:c r="E633" s="32" t="n">
        <x:v>32</x:v>
      </x:c>
      <x:c r="F633" s="33" t="n">
        <x:v>125</x:v>
      </x:c>
      <x:c r="G633" s="33" t="n">
        <x:v>175</x:v>
      </x:c>
      <x:c r="H633" s="34" t="str">
        <x:v>one_time</x:v>
      </x:c>
      <x:c r="I633" s="33" t="n">
        <x:v>280</x:v>
      </x:c>
      <x:c r="J633" s="35" t="str">
        <x:v>Planning allowance; written quote needed</x:v>
      </x:c>
      <x:c r="K633" s="36" t="str">
        <x:v>ALLOW</x:v>
      </x:c>
      <x:c r="L633" s="37" t="n">
        <x:f>ROUND(E633*F633,2)</x:f>
        <x:v>4000</x:v>
      </x:c>
      <x:c r="M633" s="37" t="n">
        <x:f>ROUND(E633*G633,2)</x:f>
        <x:v>5600</x:v>
      </x:c>
      <x:c r="N633" s="37" t="n">
        <x:f>ROUND(E633*I633,2)</x:f>
        <x:v>8960</x:v>
      </x:c>
      <x:c r="O633" s="18" t="str">
        <x:v>Assumed effort, not repository-audited vendor quote. Low125/base175 allowances; high280 published Worthwhile comparator. Creator engineering not added again.</x:v>
      </x:c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ht="48" customHeight="1">
      <x:c r="A634" s="1" t="str">
        <x:v>PLA-005</x:v>
      </x:c>
      <x:c r="B634" s="1" t="str">
        <x:v>Platform completion</x:v>
      </x:c>
      <x:c r="C634" s="18" t="str">
        <x:v>Parent teacher child experience design</x:v>
      </x:c>
      <x:c r="D634" s="18" t="str">
        <x:v>engineering/design hour</x:v>
      </x:c>
      <x:c r="E634" s="32" t="n">
        <x:v>64</x:v>
      </x:c>
      <x:c r="F634" s="33" t="n">
        <x:v>125</x:v>
      </x:c>
      <x:c r="G634" s="33" t="n">
        <x:v>175</x:v>
      </x:c>
      <x:c r="H634" s="34" t="str">
        <x:v>one_time</x:v>
      </x:c>
      <x:c r="I634" s="33" t="n">
        <x:v>280</x:v>
      </x:c>
      <x:c r="J634" s="35" t="str">
        <x:v>Planning allowance; written quote needed</x:v>
      </x:c>
      <x:c r="K634" s="36" t="str">
        <x:v>ALLOW</x:v>
      </x:c>
      <x:c r="L634" s="37" t="n">
        <x:f>ROUND(E634*F634,2)</x:f>
        <x:v>8000</x:v>
      </x:c>
      <x:c r="M634" s="37" t="n">
        <x:f>ROUND(E634*G634,2)</x:f>
        <x:v>11200</x:v>
      </x:c>
      <x:c r="N634" s="37" t="n">
        <x:f>ROUND(E634*I634,2)</x:f>
        <x:v>17920</x:v>
      </x:c>
      <x:c r="O634" s="18" t="str">
        <x:v>Assumed effort, not repository-audited vendor quote. Low125/base175 allowances; high280 published Worthwhile comparator. Creator engineering not added again.</x:v>
      </x:c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ht="48" customHeight="1">
      <x:c r="A635" s="1" t="str">
        <x:v>PLA-006</x:v>
      </x:c>
      <x:c r="B635" s="1" t="str">
        <x:v>Platform completion</x:v>
      </x:c>
      <x:c r="C635" s="18" t="str">
        <x:v>Design system</x:v>
      </x:c>
      <x:c r="D635" s="18" t="str">
        <x:v>engineering/design hour</x:v>
      </x:c>
      <x:c r="E635" s="32" t="n">
        <x:v>64</x:v>
      </x:c>
      <x:c r="F635" s="33" t="n">
        <x:v>125</x:v>
      </x:c>
      <x:c r="G635" s="33" t="n">
        <x:v>175</x:v>
      </x:c>
      <x:c r="H635" s="34" t="str">
        <x:v>one_time</x:v>
      </x:c>
      <x:c r="I635" s="33" t="n">
        <x:v>280</x:v>
      </x:c>
      <x:c r="J635" s="35" t="str">
        <x:v>Planning allowance; written quote needed</x:v>
      </x:c>
      <x:c r="K635" s="36" t="str">
        <x:v>ALLOW</x:v>
      </x:c>
      <x:c r="L635" s="37" t="n">
        <x:f>ROUND(E635*F635,2)</x:f>
        <x:v>8000</x:v>
      </x:c>
      <x:c r="M635" s="37" t="n">
        <x:f>ROUND(E635*G635,2)</x:f>
        <x:v>11200</x:v>
      </x:c>
      <x:c r="N635" s="37" t="n">
        <x:f>ROUND(E635*I635,2)</x:f>
        <x:v>17920</x:v>
      </x:c>
      <x:c r="O635" s="18" t="str">
        <x:v>Assumed effort, not repository-audited vendor quote. Low125/base175 allowances; high280 published Worthwhile comparator. Creator engineering not added again.</x:v>
      </x:c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ht="48" customHeight="1">
      <x:c r="A636" s="1" t="str">
        <x:v>PLA-007</x:v>
      </x:c>
      <x:c r="B636" s="1" t="str">
        <x:v>Platform completion</x:v>
      </x:c>
      <x:c r="C636" s="18" t="str">
        <x:v>Family identity</x:v>
      </x:c>
      <x:c r="D636" s="18" t="str">
        <x:v>engineering/design hour</x:v>
      </x:c>
      <x:c r="E636" s="32" t="n">
        <x:v>40</x:v>
      </x:c>
      <x:c r="F636" s="33" t="n">
        <x:v>125</x:v>
      </x:c>
      <x:c r="G636" s="33" t="n">
        <x:v>175</x:v>
      </x:c>
      <x:c r="H636" s="34" t="str">
        <x:v>one_time</x:v>
      </x:c>
      <x:c r="I636" s="33" t="n">
        <x:v>280</x:v>
      </x:c>
      <x:c r="J636" s="35" t="str">
        <x:v>Planning allowance; written quote needed</x:v>
      </x:c>
      <x:c r="K636" s="36" t="str">
        <x:v>ALLOW</x:v>
      </x:c>
      <x:c r="L636" s="37" t="n">
        <x:f>ROUND(E636*F636,2)</x:f>
        <x:v>5000</x:v>
      </x:c>
      <x:c r="M636" s="37" t="n">
        <x:f>ROUND(E636*G636,2)</x:f>
        <x:v>7000</x:v>
      </x:c>
      <x:c r="N636" s="37" t="n">
        <x:f>ROUND(E636*I636,2)</x:f>
        <x:v>11200</x:v>
      </x:c>
      <x:c r="O636" s="18" t="str">
        <x:v>Assumed effort, not repository-audited vendor quote. Low125/base175 allowances; high280 published Worthwhile comparator. Creator engineering not added again.</x:v>
      </x:c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ht="48" customHeight="1">
      <x:c r="A637" s="1" t="str">
        <x:v>PLA-008</x:v>
      </x:c>
      <x:c r="B637" s="1" t="str">
        <x:v>Platform completion</x:v>
      </x:c>
      <x:c r="C637" s="18" t="str">
        <x:v>Staff MFA</x:v>
      </x:c>
      <x:c r="D637" s="18" t="str">
        <x:v>engineering/design hour</x:v>
      </x:c>
      <x:c r="E637" s="32" t="n">
        <x:v>32</x:v>
      </x:c>
      <x:c r="F637" s="33" t="n">
        <x:v>125</x:v>
      </x:c>
      <x:c r="G637" s="33" t="n">
        <x:v>175</x:v>
      </x:c>
      <x:c r="H637" s="34" t="str">
        <x:v>one_time</x:v>
      </x:c>
      <x:c r="I637" s="33" t="n">
        <x:v>280</x:v>
      </x:c>
      <x:c r="J637" s="35" t="str">
        <x:v>Planning allowance; written quote needed</x:v>
      </x:c>
      <x:c r="K637" s="36" t="str">
        <x:v>ALLOW</x:v>
      </x:c>
      <x:c r="L637" s="37" t="n">
        <x:f>ROUND(E637*F637,2)</x:f>
        <x:v>4000</x:v>
      </x:c>
      <x:c r="M637" s="37" t="n">
        <x:f>ROUND(E637*G637,2)</x:f>
        <x:v>5600</x:v>
      </x:c>
      <x:c r="N637" s="37" t="n">
        <x:f>ROUND(E637*I637,2)</x:f>
        <x:v>8960</x:v>
      </x:c>
      <x:c r="O637" s="18" t="str">
        <x:v>Assumed effort, not repository-audited vendor quote. Low125/base175 allowances; high280 published Worthwhile comparator. Creator engineering not added again.</x:v>
      </x:c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ht="48" customHeight="1">
      <x:c r="A638" s="1" t="str">
        <x:v>PLA-009</x:v>
      </x:c>
      <x:c r="B638" s="1" t="str">
        <x:v>Platform completion</x:v>
      </x:c>
      <x:c r="C638" s="18" t="str">
        <x:v>Consent implementation</x:v>
      </x:c>
      <x:c r="D638" s="18" t="str">
        <x:v>engineering/design hour</x:v>
      </x:c>
      <x:c r="E638" s="32" t="n">
        <x:v>56</x:v>
      </x:c>
      <x:c r="F638" s="33" t="n">
        <x:v>125</x:v>
      </x:c>
      <x:c r="G638" s="33" t="n">
        <x:v>175</x:v>
      </x:c>
      <x:c r="H638" s="34" t="str">
        <x:v>one_time</x:v>
      </x:c>
      <x:c r="I638" s="33" t="n">
        <x:v>280</x:v>
      </x:c>
      <x:c r="J638" s="35" t="str">
        <x:v>Planning allowance; written quote needed</x:v>
      </x:c>
      <x:c r="K638" s="36" t="str">
        <x:v>ALLOW</x:v>
      </x:c>
      <x:c r="L638" s="37" t="n">
        <x:f>ROUND(E638*F638,2)</x:f>
        <x:v>7000</x:v>
      </x:c>
      <x:c r="M638" s="37" t="n">
        <x:f>ROUND(E638*G638,2)</x:f>
        <x:v>9800</x:v>
      </x:c>
      <x:c r="N638" s="37" t="n">
        <x:f>ROUND(E638*I638,2)</x:f>
        <x:v>15680</x:v>
      </x:c>
      <x:c r="O638" s="18" t="str">
        <x:v>Assumed effort, not repository-audited vendor quote. Low125/base175 allowances; high280 published Worthwhile comparator. Creator engineering not added again.</x:v>
      </x:c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ht="48" customHeight="1">
      <x:c r="A639" s="1" t="str">
        <x:v>PLA-010</x:v>
      </x:c>
      <x:c r="B639" s="1" t="str">
        <x:v>Platform completion</x:v>
      </x:c>
      <x:c r="C639" s="18" t="str">
        <x:v>Guardian child linking</x:v>
      </x:c>
      <x:c r="D639" s="18" t="str">
        <x:v>engineering/design hour</x:v>
      </x:c>
      <x:c r="E639" s="32" t="n">
        <x:v>40</x:v>
      </x:c>
      <x:c r="F639" s="33" t="n">
        <x:v>125</x:v>
      </x:c>
      <x:c r="G639" s="33" t="n">
        <x:v>175</x:v>
      </x:c>
      <x:c r="H639" s="34" t="str">
        <x:v>one_time</x:v>
      </x:c>
      <x:c r="I639" s="33" t="n">
        <x:v>280</x:v>
      </x:c>
      <x:c r="J639" s="35" t="str">
        <x:v>Planning allowance; written quote needed</x:v>
      </x:c>
      <x:c r="K639" s="36" t="str">
        <x:v>ALLOW</x:v>
      </x:c>
      <x:c r="L639" s="37" t="n">
        <x:f>ROUND(E639*F639,2)</x:f>
        <x:v>5000</x:v>
      </x:c>
      <x:c r="M639" s="37" t="n">
        <x:f>ROUND(E639*G639,2)</x:f>
        <x:v>7000</x:v>
      </x:c>
      <x:c r="N639" s="37" t="n">
        <x:f>ROUND(E639*I639,2)</x:f>
        <x:v>11200</x:v>
      </x:c>
      <x:c r="O639" s="18" t="str">
        <x:v>Assumed effort, not repository-audited vendor quote. Low125/base175 allowances; high280 published Worthwhile comparator. Creator engineering not added again.</x:v>
      </x:c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ht="48" customHeight="1">
      <x:c r="A640" s="1" t="str">
        <x:v>PLA-011</x:v>
      </x:c>
      <x:c r="B640" s="1" t="str">
        <x:v>Platform completion</x:v>
      </x:c>
      <x:c r="C640" s="18" t="str">
        <x:v>Roster</x:v>
      </x:c>
      <x:c r="D640" s="18" t="str">
        <x:v>engineering/design hour</x:v>
      </x:c>
      <x:c r="E640" s="32" t="n">
        <x:v>32</x:v>
      </x:c>
      <x:c r="F640" s="33" t="n">
        <x:v>125</x:v>
      </x:c>
      <x:c r="G640" s="33" t="n">
        <x:v>175</x:v>
      </x:c>
      <x:c r="H640" s="34" t="str">
        <x:v>one_time</x:v>
      </x:c>
      <x:c r="I640" s="33" t="n">
        <x:v>280</x:v>
      </x:c>
      <x:c r="J640" s="35" t="str">
        <x:v>Planning allowance; written quote needed</x:v>
      </x:c>
      <x:c r="K640" s="36" t="str">
        <x:v>ALLOW</x:v>
      </x:c>
      <x:c r="L640" s="37" t="n">
        <x:f>ROUND(E640*F640,2)</x:f>
        <x:v>4000</x:v>
      </x:c>
      <x:c r="M640" s="37" t="n">
        <x:f>ROUND(E640*G640,2)</x:f>
        <x:v>5600</x:v>
      </x:c>
      <x:c r="N640" s="37" t="n">
        <x:f>ROUND(E640*I640,2)</x:f>
        <x:v>8960</x:v>
      </x:c>
      <x:c r="O640" s="18" t="str">
        <x:v>Assumed effort, not repository-audited vendor quote. Low125/base175 allowances; high280 published Worthwhile comparator. Creator engineering not added again.</x:v>
      </x:c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ht="48" customHeight="1">
      <x:c r="A641" s="1" t="str">
        <x:v>PLA-012</x:v>
      </x:c>
      <x:c r="B641" s="1" t="str">
        <x:v>Platform completion</x:v>
      </x:c>
      <x:c r="C641" s="18" t="str">
        <x:v>Director administration</x:v>
      </x:c>
      <x:c r="D641" s="18" t="str">
        <x:v>engineering/design hour</x:v>
      </x:c>
      <x:c r="E641" s="32" t="n">
        <x:v>40</x:v>
      </x:c>
      <x:c r="F641" s="33" t="n">
        <x:v>125</x:v>
      </x:c>
      <x:c r="G641" s="33" t="n">
        <x:v>175</x:v>
      </x:c>
      <x:c r="H641" s="34" t="str">
        <x:v>one_time</x:v>
      </x:c>
      <x:c r="I641" s="33" t="n">
        <x:v>280</x:v>
      </x:c>
      <x:c r="J641" s="35" t="str">
        <x:v>Planning allowance; written quote needed</x:v>
      </x:c>
      <x:c r="K641" s="36" t="str">
        <x:v>ALLOW</x:v>
      </x:c>
      <x:c r="L641" s="37" t="n">
        <x:f>ROUND(E641*F641,2)</x:f>
        <x:v>5000</x:v>
      </x:c>
      <x:c r="M641" s="37" t="n">
        <x:f>ROUND(E641*G641,2)</x:f>
        <x:v>7000</x:v>
      </x:c>
      <x:c r="N641" s="37" t="n">
        <x:f>ROUND(E641*I641,2)</x:f>
        <x:v>11200</x:v>
      </x:c>
      <x:c r="O641" s="18" t="str">
        <x:v>Assumed effort, not repository-audited vendor quote. Low125/base175 allowances; high280 published Worthwhile comparator. Creator engineering not added again.</x:v>
      </x:c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ht="48" customHeight="1">
      <x:c r="A642" s="1" t="str">
        <x:v>PLA-013</x:v>
      </x:c>
      <x:c r="B642" s="1" t="str">
        <x:v>Platform completion</x:v>
      </x:c>
      <x:c r="C642" s="18" t="str">
        <x:v>Tenant isolation</x:v>
      </x:c>
      <x:c r="D642" s="18" t="str">
        <x:v>engineering/design hour</x:v>
      </x:c>
      <x:c r="E642" s="32" t="n">
        <x:v>56</x:v>
      </x:c>
      <x:c r="F642" s="33" t="n">
        <x:v>125</x:v>
      </x:c>
      <x:c r="G642" s="33" t="n">
        <x:v>175</x:v>
      </x:c>
      <x:c r="H642" s="34" t="str">
        <x:v>one_time</x:v>
      </x:c>
      <x:c r="I642" s="33" t="n">
        <x:v>280</x:v>
      </x:c>
      <x:c r="J642" s="35" t="str">
        <x:v>Planning allowance; written quote needed</x:v>
      </x:c>
      <x:c r="K642" s="36" t="str">
        <x:v>ALLOW</x:v>
      </x:c>
      <x:c r="L642" s="37" t="n">
        <x:f>ROUND(E642*F642,2)</x:f>
        <x:v>7000</x:v>
      </x:c>
      <x:c r="M642" s="37" t="n">
        <x:f>ROUND(E642*G642,2)</x:f>
        <x:v>9800</x:v>
      </x:c>
      <x:c r="N642" s="37" t="n">
        <x:f>ROUND(E642*I642,2)</x:f>
        <x:v>15680</x:v>
      </x:c>
      <x:c r="O642" s="18" t="str">
        <x:v>Assumed effort, not repository-audited vendor quote. Low125/base175 allowances; high280 published Worthwhile comparator. Creator engineering not added again.</x:v>
      </x:c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ht="48" customHeight="1">
      <x:c r="A643" s="1" t="str">
        <x:v>PLA-014</x:v>
      </x:c>
      <x:c r="B643" s="1" t="str">
        <x:v>Platform completion</x:v>
      </x:c>
      <x:c r="C643" s="18" t="str">
        <x:v>Database schema</x:v>
      </x:c>
      <x:c r="D643" s="18" t="str">
        <x:v>engineering/design hour</x:v>
      </x:c>
      <x:c r="E643" s="32" t="n">
        <x:v>48</x:v>
      </x:c>
      <x:c r="F643" s="33" t="n">
        <x:v>125</x:v>
      </x:c>
      <x:c r="G643" s="33" t="n">
        <x:v>175</x:v>
      </x:c>
      <x:c r="H643" s="34" t="str">
        <x:v>one_time</x:v>
      </x:c>
      <x:c r="I643" s="33" t="n">
        <x:v>280</x:v>
      </x:c>
      <x:c r="J643" s="35" t="str">
        <x:v>Planning allowance; written quote needed</x:v>
      </x:c>
      <x:c r="K643" s="36" t="str">
        <x:v>ALLOW</x:v>
      </x:c>
      <x:c r="L643" s="37" t="n">
        <x:f>ROUND(E643*F643,2)</x:f>
        <x:v>6000</x:v>
      </x:c>
      <x:c r="M643" s="37" t="n">
        <x:f>ROUND(E643*G643,2)</x:f>
        <x:v>8400</x:v>
      </x:c>
      <x:c r="N643" s="37" t="n">
        <x:f>ROUND(E643*I643,2)</x:f>
        <x:v>13440</x:v>
      </x:c>
      <x:c r="O643" s="18" t="str">
        <x:v>Assumed effort, not repository-audited vendor quote. Low125/base175 allowances; high280 published Worthwhile comparator. Creator engineering not added again.</x:v>
      </x:c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ht="48" customHeight="1">
      <x:c r="A644" s="1" t="str">
        <x:v>PLA-015</x:v>
      </x:c>
      <x:c r="B644" s="1" t="str">
        <x:v>Platform completion</x:v>
      </x:c>
      <x:c r="C644" s="18" t="str">
        <x:v>Row-level security</x:v>
      </x:c>
      <x:c r="D644" s="18" t="str">
        <x:v>engineering/design hour</x:v>
      </x:c>
      <x:c r="E644" s="32" t="n">
        <x:v>64</x:v>
      </x:c>
      <x:c r="F644" s="33" t="n">
        <x:v>125</x:v>
      </x:c>
      <x:c r="G644" s="33" t="n">
        <x:v>175</x:v>
      </x:c>
      <x:c r="H644" s="34" t="str">
        <x:v>one_time</x:v>
      </x:c>
      <x:c r="I644" s="33" t="n">
        <x:v>280</x:v>
      </x:c>
      <x:c r="J644" s="35" t="str">
        <x:v>Planning allowance; written quote needed</x:v>
      </x:c>
      <x:c r="K644" s="36" t="str">
        <x:v>ALLOW</x:v>
      </x:c>
      <x:c r="L644" s="37" t="n">
        <x:f>ROUND(E644*F644,2)</x:f>
        <x:v>8000</x:v>
      </x:c>
      <x:c r="M644" s="37" t="n">
        <x:f>ROUND(E644*G644,2)</x:f>
        <x:v>11200</x:v>
      </x:c>
      <x:c r="N644" s="37" t="n">
        <x:f>ROUND(E644*I644,2)</x:f>
        <x:v>17920</x:v>
      </x:c>
      <x:c r="O644" s="18" t="str">
        <x:v>Assumed effort, not repository-audited vendor quote. Low125/base175 allowances; high280 published Worthwhile comparator. Creator engineering not added again.</x:v>
      </x:c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ht="48" customHeight="1">
      <x:c r="A645" s="1" t="str">
        <x:v>PLA-016</x:v>
      </x:c>
      <x:c r="B645" s="1" t="str">
        <x:v>Platform completion</x:v>
      </x:c>
      <x:c r="C645" s="18" t="str">
        <x:v>Kid Mode</x:v>
      </x:c>
      <x:c r="D645" s="18" t="str">
        <x:v>engineering/design hour</x:v>
      </x:c>
      <x:c r="E645" s="32" t="n">
        <x:v>48</x:v>
      </x:c>
      <x:c r="F645" s="33" t="n">
        <x:v>125</x:v>
      </x:c>
      <x:c r="G645" s="33" t="n">
        <x:v>175</x:v>
      </x:c>
      <x:c r="H645" s="34" t="str">
        <x:v>one_time</x:v>
      </x:c>
      <x:c r="I645" s="33" t="n">
        <x:v>280</x:v>
      </x:c>
      <x:c r="J645" s="35" t="str">
        <x:v>Planning allowance; written quote needed</x:v>
      </x:c>
      <x:c r="K645" s="36" t="str">
        <x:v>ALLOW</x:v>
      </x:c>
      <x:c r="L645" s="37" t="n">
        <x:f>ROUND(E645*F645,2)</x:f>
        <x:v>6000</x:v>
      </x:c>
      <x:c r="M645" s="37" t="n">
        <x:f>ROUND(E645*G645,2)</x:f>
        <x:v>8400</x:v>
      </x:c>
      <x:c r="N645" s="37" t="n">
        <x:f>ROUND(E645*I645,2)</x:f>
        <x:v>13440</x:v>
      </x:c>
      <x:c r="O645" s="18" t="str">
        <x:v>Assumed effort, not repository-audited vendor quote. Low125/base175 allowances; high280 published Worthwhile comparator. Creator engineering not added again.</x:v>
      </x:c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ht="48" customHeight="1">
      <x:c r="A646" s="1" t="str">
        <x:v>PLA-017</x:v>
      </x:c>
      <x:c r="B646" s="1" t="str">
        <x:v>Platform completion</x:v>
      </x:c>
      <x:c r="C646" s="18" t="str">
        <x:v>Curriculum structure</x:v>
      </x:c>
      <x:c r="D646" s="18" t="str">
        <x:v>engineering/design hour</x:v>
      </x:c>
      <x:c r="E646" s="32" t="n">
        <x:v>64</x:v>
      </x:c>
      <x:c r="F646" s="33" t="n">
        <x:v>125</x:v>
      </x:c>
      <x:c r="G646" s="33" t="n">
        <x:v>175</x:v>
      </x:c>
      <x:c r="H646" s="34" t="str">
        <x:v>one_time</x:v>
      </x:c>
      <x:c r="I646" s="33" t="n">
        <x:v>280</x:v>
      </x:c>
      <x:c r="J646" s="35" t="str">
        <x:v>Planning allowance; written quote needed</x:v>
      </x:c>
      <x:c r="K646" s="36" t="str">
        <x:v>ALLOW</x:v>
      </x:c>
      <x:c r="L646" s="37" t="n">
        <x:f>ROUND(E646*F646,2)</x:f>
        <x:v>8000</x:v>
      </x:c>
      <x:c r="M646" s="37" t="n">
        <x:f>ROUND(E646*G646,2)</x:f>
        <x:v>11200</x:v>
      </x:c>
      <x:c r="N646" s="37" t="n">
        <x:f>ROUND(E646*I646,2)</x:f>
        <x:v>17920</x:v>
      </x:c>
      <x:c r="O646" s="18" t="str">
        <x:v>Assumed effort, not repository-audited vendor quote. Low125/base175 allowances; high280 published Worthwhile comparator. Creator engineering not added again.</x:v>
      </x:c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ht="48" customHeight="1">
      <x:c r="A647" s="1" t="str">
        <x:v>PLA-018</x:v>
      </x:c>
      <x:c r="B647" s="1" t="str">
        <x:v>Platform completion</x:v>
      </x:c>
      <x:c r="C647" s="18" t="str">
        <x:v>Media playback</x:v>
      </x:c>
      <x:c r="D647" s="18" t="str">
        <x:v>engineering/design hour</x:v>
      </x:c>
      <x:c r="E647" s="32" t="n">
        <x:v>64</x:v>
      </x:c>
      <x:c r="F647" s="33" t="n">
        <x:v>125</x:v>
      </x:c>
      <x:c r="G647" s="33" t="n">
        <x:v>175</x:v>
      </x:c>
      <x:c r="H647" s="34" t="str">
        <x:v>one_time</x:v>
      </x:c>
      <x:c r="I647" s="33" t="n">
        <x:v>280</x:v>
      </x:c>
      <x:c r="J647" s="35" t="str">
        <x:v>Planning allowance; written quote needed</x:v>
      </x:c>
      <x:c r="K647" s="36" t="str">
        <x:v>ALLOW</x:v>
      </x:c>
      <x:c r="L647" s="37" t="n">
        <x:f>ROUND(E647*F647,2)</x:f>
        <x:v>8000</x:v>
      </x:c>
      <x:c r="M647" s="37" t="n">
        <x:f>ROUND(E647*G647,2)</x:f>
        <x:v>11200</x:v>
      </x:c>
      <x:c r="N647" s="37" t="n">
        <x:f>ROUND(E647*I647,2)</x:f>
        <x:v>17920</x:v>
      </x:c>
      <x:c r="O647" s="18" t="str">
        <x:v>Assumed effort, not repository-audited vendor quote. Low125/base175 allowances; high280 published Worthwhile comparator. Creator engineering not added again.</x:v>
      </x:c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ht="48" customHeight="1">
      <x:c r="A648" s="1" t="str">
        <x:v>PLA-019</x:v>
      </x:c>
      <x:c r="B648" s="1" t="str">
        <x:v>Platform completion</x:v>
      </x:c>
      <x:c r="C648" s="18" t="str">
        <x:v>Assignment workflows</x:v>
      </x:c>
      <x:c r="D648" s="18" t="str">
        <x:v>engineering/design hour</x:v>
      </x:c>
      <x:c r="E648" s="32" t="n">
        <x:v>48</x:v>
      </x:c>
      <x:c r="F648" s="33" t="n">
        <x:v>125</x:v>
      </x:c>
      <x:c r="G648" s="33" t="n">
        <x:v>175</x:v>
      </x:c>
      <x:c r="H648" s="34" t="str">
        <x:v>one_time</x:v>
      </x:c>
      <x:c r="I648" s="33" t="n">
        <x:v>280</x:v>
      </x:c>
      <x:c r="J648" s="35" t="str">
        <x:v>Planning allowance; written quote needed</x:v>
      </x:c>
      <x:c r="K648" s="36" t="str">
        <x:v>ALLOW</x:v>
      </x:c>
      <x:c r="L648" s="37" t="n">
        <x:f>ROUND(E648*F648,2)</x:f>
        <x:v>6000</x:v>
      </x:c>
      <x:c r="M648" s="37" t="n">
        <x:f>ROUND(E648*G648,2)</x:f>
        <x:v>8400</x:v>
      </x:c>
      <x:c r="N648" s="37" t="n">
        <x:f>ROUND(E648*I648,2)</x:f>
        <x:v>13440</x:v>
      </x:c>
      <x:c r="O648" s="18" t="str">
        <x:v>Assumed effort, not repository-audited vendor quote. Low125/base175 allowances; high280 published Worthwhile comparator. Creator engineering not added again.</x:v>
      </x:c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ht="48" customHeight="1">
      <x:c r="A649" s="1" t="str">
        <x:v>PLA-020</x:v>
      </x:c>
      <x:c r="B649" s="1" t="str">
        <x:v>Platform completion</x:v>
      </x:c>
      <x:c r="C649" s="18" t="str">
        <x:v>Observation rubric</x:v>
      </x:c>
      <x:c r="D649" s="18" t="str">
        <x:v>engineering/design hour</x:v>
      </x:c>
      <x:c r="E649" s="32" t="n">
        <x:v>48</x:v>
      </x:c>
      <x:c r="F649" s="33" t="n">
        <x:v>125</x:v>
      </x:c>
      <x:c r="G649" s="33" t="n">
        <x:v>175</x:v>
      </x:c>
      <x:c r="H649" s="34" t="str">
        <x:v>one_time</x:v>
      </x:c>
      <x:c r="I649" s="33" t="n">
        <x:v>280</x:v>
      </x:c>
      <x:c r="J649" s="35" t="str">
        <x:v>Planning allowance; written quote needed</x:v>
      </x:c>
      <x:c r="K649" s="36" t="str">
        <x:v>ALLOW</x:v>
      </x:c>
      <x:c r="L649" s="37" t="n">
        <x:f>ROUND(E649*F649,2)</x:f>
        <x:v>6000</x:v>
      </x:c>
      <x:c r="M649" s="37" t="n">
        <x:f>ROUND(E649*G649,2)</x:f>
        <x:v>8400</x:v>
      </x:c>
      <x:c r="N649" s="37" t="n">
        <x:f>ROUND(E649*I649,2)</x:f>
        <x:v>13440</x:v>
      </x:c>
      <x:c r="O649" s="18" t="str">
        <x:v>Assumed effort, not repository-audited vendor quote. Low125/base175 allowances; high280 published Worthwhile comparator. Creator engineering not added again.</x:v>
      </x:c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ht="48" customHeight="1">
      <x:c r="A650" s="1" t="str">
        <x:v>PLA-021</x:v>
      </x:c>
      <x:c r="B650" s="1" t="str">
        <x:v>Platform completion</x:v>
      </x:c>
      <x:c r="C650" s="18" t="str">
        <x:v>Weekly parent digest</x:v>
      </x:c>
      <x:c r="D650" s="18" t="str">
        <x:v>engineering/design hour</x:v>
      </x:c>
      <x:c r="E650" s="32" t="n">
        <x:v>40</x:v>
      </x:c>
      <x:c r="F650" s="33" t="n">
        <x:v>125</x:v>
      </x:c>
      <x:c r="G650" s="33" t="n">
        <x:v>175</x:v>
      </x:c>
      <x:c r="H650" s="34" t="str">
        <x:v>one_time</x:v>
      </x:c>
      <x:c r="I650" s="33" t="n">
        <x:v>280</x:v>
      </x:c>
      <x:c r="J650" s="35" t="str">
        <x:v>Planning allowance; written quote needed</x:v>
      </x:c>
      <x:c r="K650" s="36" t="str">
        <x:v>ALLOW</x:v>
      </x:c>
      <x:c r="L650" s="37" t="n">
        <x:f>ROUND(E650*F650,2)</x:f>
        <x:v>5000</x:v>
      </x:c>
      <x:c r="M650" s="37" t="n">
        <x:f>ROUND(E650*G650,2)</x:f>
        <x:v>7000</x:v>
      </x:c>
      <x:c r="N650" s="37" t="n">
        <x:f>ROUND(E650*I650,2)</x:f>
        <x:v>11200</x:v>
      </x:c>
      <x:c r="O650" s="18" t="str">
        <x:v>Assumed effort, not repository-audited vendor quote. Low125/base175 allowances; high280 published Worthwhile comparator. Creator engineering not added again.</x:v>
      </x:c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ht="48" customHeight="1">
      <x:c r="A651" s="1" t="str">
        <x:v>PLA-022</x:v>
      </x:c>
      <x:c r="B651" s="1" t="str">
        <x:v>Platform completion</x:v>
      </x:c>
      <x:c r="C651" s="18" t="str">
        <x:v>Teacher feedback</x:v>
      </x:c>
      <x:c r="D651" s="18" t="str">
        <x:v>engineering/design hour</x:v>
      </x:c>
      <x:c r="E651" s="32" t="n">
        <x:v>40</x:v>
      </x:c>
      <x:c r="F651" s="33" t="n">
        <x:v>125</x:v>
      </x:c>
      <x:c r="G651" s="33" t="n">
        <x:v>175</x:v>
      </x:c>
      <x:c r="H651" s="34" t="str">
        <x:v>one_time</x:v>
      </x:c>
      <x:c r="I651" s="33" t="n">
        <x:v>280</x:v>
      </x:c>
      <x:c r="J651" s="35" t="str">
        <x:v>Planning allowance; written quote needed</x:v>
      </x:c>
      <x:c r="K651" s="36" t="str">
        <x:v>ALLOW</x:v>
      </x:c>
      <x:c r="L651" s="37" t="n">
        <x:f>ROUND(E651*F651,2)</x:f>
        <x:v>5000</x:v>
      </x:c>
      <x:c r="M651" s="37" t="n">
        <x:f>ROUND(E651*G651,2)</x:f>
        <x:v>7000</x:v>
      </x:c>
      <x:c r="N651" s="37" t="n">
        <x:f>ROUND(E651*I651,2)</x:f>
        <x:v>11200</x:v>
      </x:c>
      <x:c r="O651" s="18" t="str">
        <x:v>Assumed effort, not repository-audited vendor quote. Low125/base175 allowances; high280 published Worthwhile comparator. Creator engineering not added again.</x:v>
      </x:c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ht="48" customHeight="1">
      <x:c r="A652" s="1" t="str">
        <x:v>PLA-023</x:v>
      </x:c>
      <x:c r="B652" s="1" t="str">
        <x:v>Platform completion</x:v>
      </x:c>
      <x:c r="C652" s="18" t="str">
        <x:v>Food health records</x:v>
      </x:c>
      <x:c r="D652" s="18" t="str">
        <x:v>engineering/design hour</x:v>
      </x:c>
      <x:c r="E652" s="32" t="n">
        <x:v>48</x:v>
      </x:c>
      <x:c r="F652" s="33" t="n">
        <x:v>125</x:v>
      </x:c>
      <x:c r="G652" s="33" t="n">
        <x:v>175</x:v>
      </x:c>
      <x:c r="H652" s="34" t="str">
        <x:v>one_time</x:v>
      </x:c>
      <x:c r="I652" s="33" t="n">
        <x:v>280</x:v>
      </x:c>
      <x:c r="J652" s="35" t="str">
        <x:v>Planning allowance; written quote needed</x:v>
      </x:c>
      <x:c r="K652" s="36" t="str">
        <x:v>ALLOW</x:v>
      </x:c>
      <x:c r="L652" s="37" t="n">
        <x:f>ROUND(E652*F652,2)</x:f>
        <x:v>6000</x:v>
      </x:c>
      <x:c r="M652" s="37" t="n">
        <x:f>ROUND(E652*G652,2)</x:f>
        <x:v>8400</x:v>
      </x:c>
      <x:c r="N652" s="37" t="n">
        <x:f>ROUND(E652*I652,2)</x:f>
        <x:v>13440</x:v>
      </x:c>
      <x:c r="O652" s="18" t="str">
        <x:v>Assumed effort, not repository-audited vendor quote. Low125/base175 allowances; high280 published Worthwhile comparator. Creator engineering not added again.</x:v>
      </x:c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ht="48" customHeight="1">
      <x:c r="A653" s="1" t="str">
        <x:v>PLA-024</x:v>
      </x:c>
      <x:c r="B653" s="1" t="str">
        <x:v>Platform completion</x:v>
      </x:c>
      <x:c r="C653" s="18" t="str">
        <x:v>Movement records</x:v>
      </x:c>
      <x:c r="D653" s="18" t="str">
        <x:v>engineering/design hour</x:v>
      </x:c>
      <x:c r="E653" s="32" t="n">
        <x:v>32</x:v>
      </x:c>
      <x:c r="F653" s="33" t="n">
        <x:v>125</x:v>
      </x:c>
      <x:c r="G653" s="33" t="n">
        <x:v>175</x:v>
      </x:c>
      <x:c r="H653" s="34" t="str">
        <x:v>one_time</x:v>
      </x:c>
      <x:c r="I653" s="33" t="n">
        <x:v>280</x:v>
      </x:c>
      <x:c r="J653" s="35" t="str">
        <x:v>Planning allowance; written quote needed</x:v>
      </x:c>
      <x:c r="K653" s="36" t="str">
        <x:v>ALLOW</x:v>
      </x:c>
      <x:c r="L653" s="37" t="n">
        <x:f>ROUND(E653*F653,2)</x:f>
        <x:v>4000</x:v>
      </x:c>
      <x:c r="M653" s="37" t="n">
        <x:f>ROUND(E653*G653,2)</x:f>
        <x:v>5600</x:v>
      </x:c>
      <x:c r="N653" s="37" t="n">
        <x:f>ROUND(E653*I653,2)</x:f>
        <x:v>8960</x:v>
      </x:c>
      <x:c r="O653" s="18" t="str">
        <x:v>Assumed effort, not repository-audited vendor quote. Low125/base175 allowances; high280 published Worthwhile comparator. Creator engineering not added again.</x:v>
      </x:c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ht="48" customHeight="1">
      <x:c r="A654" s="1" t="str">
        <x:v>PLA-025</x:v>
      </x:c>
      <x:c r="B654" s="1" t="str">
        <x:v>Platform completion</x:v>
      </x:c>
      <x:c r="C654" s="18" t="str">
        <x:v>Approved character messages</x:v>
      </x:c>
      <x:c r="D654" s="18" t="str">
        <x:v>engineering/design hour</x:v>
      </x:c>
      <x:c r="E654" s="32" t="n">
        <x:v>40</x:v>
      </x:c>
      <x:c r="F654" s="33" t="n">
        <x:v>125</x:v>
      </x:c>
      <x:c r="G654" s="33" t="n">
        <x:v>175</x:v>
      </x:c>
      <x:c r="H654" s="34" t="str">
        <x:v>one_time</x:v>
      </x:c>
      <x:c r="I654" s="33" t="n">
        <x:v>280</x:v>
      </x:c>
      <x:c r="J654" s="35" t="str">
        <x:v>Planning allowance; written quote needed</x:v>
      </x:c>
      <x:c r="K654" s="36" t="str">
        <x:v>ALLOW</x:v>
      </x:c>
      <x:c r="L654" s="37" t="n">
        <x:f>ROUND(E654*F654,2)</x:f>
        <x:v>5000</x:v>
      </x:c>
      <x:c r="M654" s="37" t="n">
        <x:f>ROUND(E654*G654,2)</x:f>
        <x:v>7000</x:v>
      </x:c>
      <x:c r="N654" s="37" t="n">
        <x:f>ROUND(E654*I654,2)</x:f>
        <x:v>11200</x:v>
      </x:c>
      <x:c r="O654" s="18" t="str">
        <x:v>Assumed effort, not repository-audited vendor quote. Low125/base175 allowances; high280 published Worthwhile comparator. Creator engineering not added again.</x:v>
      </x:c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ht="48" customHeight="1">
      <x:c r="A655" s="1" t="str">
        <x:v>PLA-026</x:v>
      </x:c>
      <x:c r="B655" s="1" t="str">
        <x:v>Platform completion</x:v>
      </x:c>
      <x:c r="C655" s="18" t="str">
        <x:v>Message approval controls</x:v>
      </x:c>
      <x:c r="D655" s="18" t="str">
        <x:v>engineering/design hour</x:v>
      </x:c>
      <x:c r="E655" s="32" t="n">
        <x:v>40</x:v>
      </x:c>
      <x:c r="F655" s="33" t="n">
        <x:v>125</x:v>
      </x:c>
      <x:c r="G655" s="33" t="n">
        <x:v>175</x:v>
      </x:c>
      <x:c r="H655" s="34" t="str">
        <x:v>one_time</x:v>
      </x:c>
      <x:c r="I655" s="33" t="n">
        <x:v>280</x:v>
      </x:c>
      <x:c r="J655" s="35" t="str">
        <x:v>Planning allowance; written quote needed</x:v>
      </x:c>
      <x:c r="K655" s="36" t="str">
        <x:v>ALLOW</x:v>
      </x:c>
      <x:c r="L655" s="37" t="n">
        <x:f>ROUND(E655*F655,2)</x:f>
        <x:v>5000</x:v>
      </x:c>
      <x:c r="M655" s="37" t="n">
        <x:f>ROUND(E655*G655,2)</x:f>
        <x:v>7000</x:v>
      </x:c>
      <x:c r="N655" s="37" t="n">
        <x:f>ROUND(E655*I655,2)</x:f>
        <x:v>11200</x:v>
      </x:c>
      <x:c r="O655" s="18" t="str">
        <x:v>Assumed effort, not repository-audited vendor quote. Low125/base175 allowances; high280 published Worthwhile comparator. Creator engineering not added again.</x:v>
      </x:c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ht="48" customHeight="1">
      <x:c r="A656" s="1" t="str">
        <x:v>PLA-027</x:v>
      </x:c>
      <x:c r="B656" s="1" t="str">
        <x:v>Platform completion</x:v>
      </x:c>
      <x:c r="C656" s="18" t="str">
        <x:v>QR habit routing</x:v>
      </x:c>
      <x:c r="D656" s="18" t="str">
        <x:v>engineering/design hour</x:v>
      </x:c>
      <x:c r="E656" s="32" t="n">
        <x:v>32</x:v>
      </x:c>
      <x:c r="F656" s="33" t="n">
        <x:v>125</x:v>
      </x:c>
      <x:c r="G656" s="33" t="n">
        <x:v>175</x:v>
      </x:c>
      <x:c r="H656" s="34" t="str">
        <x:v>one_time</x:v>
      </x:c>
      <x:c r="I656" s="33" t="n">
        <x:v>280</x:v>
      </x:c>
      <x:c r="J656" s="35" t="str">
        <x:v>Planning allowance; written quote needed</x:v>
      </x:c>
      <x:c r="K656" s="36" t="str">
        <x:v>ALLOW</x:v>
      </x:c>
      <x:c r="L656" s="37" t="n">
        <x:f>ROUND(E656*F656,2)</x:f>
        <x:v>4000</x:v>
      </x:c>
      <x:c r="M656" s="37" t="n">
        <x:f>ROUND(E656*G656,2)</x:f>
        <x:v>5600</x:v>
      </x:c>
      <x:c r="N656" s="37" t="n">
        <x:f>ROUND(E656*I656,2)</x:f>
        <x:v>8960</x:v>
      </x:c>
      <x:c r="O656" s="18" t="str">
        <x:v>Assumed effort, not repository-audited vendor quote. Low125/base175 allowances; high280 published Worthwhile comparator. Creator engineering not added again.</x:v>
      </x:c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ht="48" customHeight="1">
      <x:c r="A657" s="1" t="str">
        <x:v>PLA-028</x:v>
      </x:c>
      <x:c r="B657" s="1" t="str">
        <x:v>Platform completion</x:v>
      </x:c>
      <x:c r="C657" s="18" t="str">
        <x:v>Character player</x:v>
      </x:c>
      <x:c r="D657" s="18" t="str">
        <x:v>engineering/design hour</x:v>
      </x:c>
      <x:c r="E657" s="32" t="n">
        <x:v>56</x:v>
      </x:c>
      <x:c r="F657" s="33" t="n">
        <x:v>125</x:v>
      </x:c>
      <x:c r="G657" s="33" t="n">
        <x:v>175</x:v>
      </x:c>
      <x:c r="H657" s="34" t="str">
        <x:v>one_time</x:v>
      </x:c>
      <x:c r="I657" s="33" t="n">
        <x:v>280</x:v>
      </x:c>
      <x:c r="J657" s="35" t="str">
        <x:v>Planning allowance; written quote needed</x:v>
      </x:c>
      <x:c r="K657" s="36" t="str">
        <x:v>ALLOW</x:v>
      </x:c>
      <x:c r="L657" s="37" t="n">
        <x:f>ROUND(E657*F657,2)</x:f>
        <x:v>7000</x:v>
      </x:c>
      <x:c r="M657" s="37" t="n">
        <x:f>ROUND(E657*G657,2)</x:f>
        <x:v>9800</x:v>
      </x:c>
      <x:c r="N657" s="37" t="n">
        <x:f>ROUND(E657*I657,2)</x:f>
        <x:v>15680</x:v>
      </x:c>
      <x:c r="O657" s="18" t="str">
        <x:v>Assumed effort, not repository-audited vendor quote. Low125/base175 allowances; high280 published Worthwhile comparator. Creator engineering not added again.</x:v>
      </x:c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ht="48" customHeight="1">
      <x:c r="A658" s="1" t="str">
        <x:v>PLA-029</x:v>
      </x:c>
      <x:c r="B658" s="1" t="str">
        <x:v>Platform completion</x:v>
      </x:c>
      <x:c r="C658" s="18" t="str">
        <x:v>Bilingual interface</x:v>
      </x:c>
      <x:c r="D658" s="18" t="str">
        <x:v>engineering/design hour</x:v>
      </x:c>
      <x:c r="E658" s="32" t="n">
        <x:v>40</x:v>
      </x:c>
      <x:c r="F658" s="33" t="n">
        <x:v>125</x:v>
      </x:c>
      <x:c r="G658" s="33" t="n">
        <x:v>175</x:v>
      </x:c>
      <x:c r="H658" s="34" t="str">
        <x:v>one_time</x:v>
      </x:c>
      <x:c r="I658" s="33" t="n">
        <x:v>280</x:v>
      </x:c>
      <x:c r="J658" s="35" t="str">
        <x:v>Planning allowance; written quote needed</x:v>
      </x:c>
      <x:c r="K658" s="36" t="str">
        <x:v>ALLOW</x:v>
      </x:c>
      <x:c r="L658" s="37" t="n">
        <x:f>ROUND(E658*F658,2)</x:f>
        <x:v>5000</x:v>
      </x:c>
      <x:c r="M658" s="37" t="n">
        <x:f>ROUND(E658*G658,2)</x:f>
        <x:v>7000</x:v>
      </x:c>
      <x:c r="N658" s="37" t="n">
        <x:f>ROUND(E658*I658,2)</x:f>
        <x:v>11200</x:v>
      </x:c>
      <x:c r="O658" s="18" t="str">
        <x:v>Assumed effort, not repository-audited vendor quote. Low125/base175 allowances; high280 published Worthwhile comparator. Creator engineering not added again.</x:v>
      </x:c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ht="48" customHeight="1">
      <x:c r="A659" s="1" t="str">
        <x:v>PLA-030</x:v>
      </x:c>
      <x:c r="B659" s="1" t="str">
        <x:v>Platform completion</x:v>
      </x:c>
      <x:c r="C659" s="18" t="str">
        <x:v>Bilingual content system</x:v>
      </x:c>
      <x:c r="D659" s="18" t="str">
        <x:v>engineering/design hour</x:v>
      </x:c>
      <x:c r="E659" s="32" t="n">
        <x:v>40</x:v>
      </x:c>
      <x:c r="F659" s="33" t="n">
        <x:v>125</x:v>
      </x:c>
      <x:c r="G659" s="33" t="n">
        <x:v>175</x:v>
      </x:c>
      <x:c r="H659" s="34" t="str">
        <x:v>one_time</x:v>
      </x:c>
      <x:c r="I659" s="33" t="n">
        <x:v>280</x:v>
      </x:c>
      <x:c r="J659" s="35" t="str">
        <x:v>Planning allowance; written quote needed</x:v>
      </x:c>
      <x:c r="K659" s="36" t="str">
        <x:v>ALLOW</x:v>
      </x:c>
      <x:c r="L659" s="37" t="n">
        <x:f>ROUND(E659*F659,2)</x:f>
        <x:v>5000</x:v>
      </x:c>
      <x:c r="M659" s="37" t="n">
        <x:f>ROUND(E659*G659,2)</x:f>
        <x:v>7000</x:v>
      </x:c>
      <x:c r="N659" s="37" t="n">
        <x:f>ROUND(E659*I659,2)</x:f>
        <x:v>11200</x:v>
      </x:c>
      <x:c r="O659" s="18" t="str">
        <x:v>Assumed effort, not repository-audited vendor quote. Low125/base175 allowances; high280 published Worthwhile comparator. Creator engineering not added again.</x:v>
      </x:c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ht="48" customHeight="1">
      <x:c r="A660" s="1" t="str">
        <x:v>PLA-031</x:v>
      </x:c>
      <x:c r="B660" s="1" t="str">
        <x:v>Platform completion</x:v>
      </x:c>
      <x:c r="C660" s="18" t="str">
        <x:v>Private uploads</x:v>
      </x:c>
      <x:c r="D660" s="18" t="str">
        <x:v>engineering/design hour</x:v>
      </x:c>
      <x:c r="E660" s="32" t="n">
        <x:v>48</x:v>
      </x:c>
      <x:c r="F660" s="33" t="n">
        <x:v>125</x:v>
      </x:c>
      <x:c r="G660" s="33" t="n">
        <x:v>175</x:v>
      </x:c>
      <x:c r="H660" s="34" t="str">
        <x:v>one_time</x:v>
      </x:c>
      <x:c r="I660" s="33" t="n">
        <x:v>280</x:v>
      </x:c>
      <x:c r="J660" s="35" t="str">
        <x:v>Planning allowance; written quote needed</x:v>
      </x:c>
      <x:c r="K660" s="36" t="str">
        <x:v>ALLOW</x:v>
      </x:c>
      <x:c r="L660" s="37" t="n">
        <x:f>ROUND(E660*F660,2)</x:f>
        <x:v>6000</x:v>
      </x:c>
      <x:c r="M660" s="37" t="n">
        <x:f>ROUND(E660*G660,2)</x:f>
        <x:v>8400</x:v>
      </x:c>
      <x:c r="N660" s="37" t="n">
        <x:f>ROUND(E660*I660,2)</x:f>
        <x:v>13440</x:v>
      </x:c>
      <x:c r="O660" s="18" t="str">
        <x:v>Assumed effort, not repository-audited vendor quote. Low125/base175 allowances; high280 published Worthwhile comparator. Creator engineering not added again.</x:v>
      </x:c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ht="48" customHeight="1">
      <x:c r="A661" s="1" t="str">
        <x:v>PLA-032</x:v>
      </x:c>
      <x:c r="B661" s="1" t="str">
        <x:v>Platform completion</x:v>
      </x:c>
      <x:c r="C661" s="18" t="str">
        <x:v>Photo consent</x:v>
      </x:c>
      <x:c r="D661" s="18" t="str">
        <x:v>engineering/design hour</x:v>
      </x:c>
      <x:c r="E661" s="32" t="n">
        <x:v>32</x:v>
      </x:c>
      <x:c r="F661" s="33" t="n">
        <x:v>125</x:v>
      </x:c>
      <x:c r="G661" s="33" t="n">
        <x:v>175</x:v>
      </x:c>
      <x:c r="H661" s="34" t="str">
        <x:v>one_time</x:v>
      </x:c>
      <x:c r="I661" s="33" t="n">
        <x:v>280</x:v>
      </x:c>
      <x:c r="J661" s="35" t="str">
        <x:v>Planning allowance; written quote needed</x:v>
      </x:c>
      <x:c r="K661" s="36" t="str">
        <x:v>ALLOW</x:v>
      </x:c>
      <x:c r="L661" s="37" t="n">
        <x:f>ROUND(E661*F661,2)</x:f>
        <x:v>4000</x:v>
      </x:c>
      <x:c r="M661" s="37" t="n">
        <x:f>ROUND(E661*G661,2)</x:f>
        <x:v>5600</x:v>
      </x:c>
      <x:c r="N661" s="37" t="n">
        <x:f>ROUND(E661*I661,2)</x:f>
        <x:v>8960</x:v>
      </x:c>
      <x:c r="O661" s="18" t="str">
        <x:v>Assumed effort, not repository-audited vendor quote. Low125/base175 allowances; high280 published Worthwhile comparator. Creator engineering not added again.</x:v>
      </x:c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ht="48" customHeight="1">
      <x:c r="A662" s="1" t="str">
        <x:v>PLA-033</x:v>
      </x:c>
      <x:c r="B662" s="1" t="str">
        <x:v>Platform completion</x:v>
      </x:c>
      <x:c r="C662" s="18" t="str">
        <x:v>ATS integration</x:v>
      </x:c>
      <x:c r="D662" s="18" t="str">
        <x:v>engineering/design hour</x:v>
      </x:c>
      <x:c r="E662" s="32" t="n">
        <x:v>40</x:v>
      </x:c>
      <x:c r="F662" s="33" t="n">
        <x:v>125</x:v>
      </x:c>
      <x:c r="G662" s="33" t="n">
        <x:v>175</x:v>
      </x:c>
      <x:c r="H662" s="34" t="str">
        <x:v>one_time</x:v>
      </x:c>
      <x:c r="I662" s="33" t="n">
        <x:v>280</x:v>
      </x:c>
      <x:c r="J662" s="35" t="str">
        <x:v>Planning allowance; written quote needed</x:v>
      </x:c>
      <x:c r="K662" s="36" t="str">
        <x:v>ALLOW</x:v>
      </x:c>
      <x:c r="L662" s="37" t="n">
        <x:f>ROUND(E662*F662,2)</x:f>
        <x:v>5000</x:v>
      </x:c>
      <x:c r="M662" s="37" t="n">
        <x:f>ROUND(E662*G662,2)</x:f>
        <x:v>7000</x:v>
      </x:c>
      <x:c r="N662" s="37" t="n">
        <x:f>ROUND(E662*I662,2)</x:f>
        <x:v>11200</x:v>
      </x:c>
      <x:c r="O662" s="18" t="str">
        <x:v>Assumed effort, not repository-audited vendor quote. Low125/base175 allowances; high280 published Worthwhile comparator. Creator engineering not added again.</x:v>
      </x:c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ht="48" customHeight="1">
      <x:c r="A663" s="1" t="str">
        <x:v>PLA-034</x:v>
      </x:c>
      <x:c r="B663" s="1" t="str">
        <x:v>Platform completion</x:v>
      </x:c>
      <x:c r="C663" s="18" t="str">
        <x:v>CRM integration</x:v>
      </x:c>
      <x:c r="D663" s="18" t="str">
        <x:v>engineering/design hour</x:v>
      </x:c>
      <x:c r="E663" s="32" t="n">
        <x:v>40</x:v>
      </x:c>
      <x:c r="F663" s="33" t="n">
        <x:v>125</x:v>
      </x:c>
      <x:c r="G663" s="33" t="n">
        <x:v>175</x:v>
      </x:c>
      <x:c r="H663" s="34" t="str">
        <x:v>one_time</x:v>
      </x:c>
      <x:c r="I663" s="33" t="n">
        <x:v>280</x:v>
      </x:c>
      <x:c r="J663" s="35" t="str">
        <x:v>Planning allowance; written quote needed</x:v>
      </x:c>
      <x:c r="K663" s="36" t="str">
        <x:v>ALLOW</x:v>
      </x:c>
      <x:c r="L663" s="37" t="n">
        <x:f>ROUND(E663*F663,2)</x:f>
        <x:v>5000</x:v>
      </x:c>
      <x:c r="M663" s="37" t="n">
        <x:f>ROUND(E663*G663,2)</x:f>
        <x:v>7000</x:v>
      </x:c>
      <x:c r="N663" s="37" t="n">
        <x:f>ROUND(E663*I663,2)</x:f>
        <x:v>11200</x:v>
      </x:c>
      <x:c r="O663" s="18" t="str">
        <x:v>Assumed effort, not repository-audited vendor quote. Low125/base175 allowances; high280 published Worthwhile comparator. Creator engineering not added again.</x:v>
      </x:c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ht="48" customHeight="1">
      <x:c r="A664" s="1" t="str">
        <x:v>PLA-035</x:v>
      </x:c>
      <x:c r="B664" s="1" t="str">
        <x:v>Platform completion</x:v>
      </x:c>
      <x:c r="C664" s="18" t="str">
        <x:v>Store integration</x:v>
      </x:c>
      <x:c r="D664" s="18" t="str">
        <x:v>engineering/design hour</x:v>
      </x:c>
      <x:c r="E664" s="32" t="n">
        <x:v>40</x:v>
      </x:c>
      <x:c r="F664" s="33" t="n">
        <x:v>125</x:v>
      </x:c>
      <x:c r="G664" s="33" t="n">
        <x:v>175</x:v>
      </x:c>
      <x:c r="H664" s="34" t="str">
        <x:v>one_time</x:v>
      </x:c>
      <x:c r="I664" s="33" t="n">
        <x:v>280</x:v>
      </x:c>
      <x:c r="J664" s="35" t="str">
        <x:v>Planning allowance; written quote needed</x:v>
      </x:c>
      <x:c r="K664" s="36" t="str">
        <x:v>ALLOW</x:v>
      </x:c>
      <x:c r="L664" s="37" t="n">
        <x:f>ROUND(E664*F664,2)</x:f>
        <x:v>5000</x:v>
      </x:c>
      <x:c r="M664" s="37" t="n">
        <x:f>ROUND(E664*G664,2)</x:f>
        <x:v>7000</x:v>
      </x:c>
      <x:c r="N664" s="37" t="n">
        <x:f>ROUND(E664*I664,2)</x:f>
        <x:v>11200</x:v>
      </x:c>
      <x:c r="O664" s="18" t="str">
        <x:v>Assumed effort, not repository-audited vendor quote. Low125/base175 allowances; high280 published Worthwhile comparator. Creator engineering not added again.</x:v>
      </x:c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ht="48" customHeight="1">
      <x:c r="A665" s="1" t="str">
        <x:v>PLA-036</x:v>
      </x:c>
      <x:c r="B665" s="1" t="str">
        <x:v>Platform completion</x:v>
      </x:c>
      <x:c r="C665" s="18" t="str">
        <x:v>Billing integration</x:v>
      </x:c>
      <x:c r="D665" s="18" t="str">
        <x:v>engineering/design hour</x:v>
      </x:c>
      <x:c r="E665" s="32" t="n">
        <x:v>56</x:v>
      </x:c>
      <x:c r="F665" s="33" t="n">
        <x:v>125</x:v>
      </x:c>
      <x:c r="G665" s="33" t="n">
        <x:v>175</x:v>
      </x:c>
      <x:c r="H665" s="34" t="str">
        <x:v>one_time</x:v>
      </x:c>
      <x:c r="I665" s="33" t="n">
        <x:v>280</x:v>
      </x:c>
      <x:c r="J665" s="35" t="str">
        <x:v>Planning allowance; written quote needed</x:v>
      </x:c>
      <x:c r="K665" s="36" t="str">
        <x:v>ALLOW</x:v>
      </x:c>
      <x:c r="L665" s="37" t="n">
        <x:f>ROUND(E665*F665,2)</x:f>
        <x:v>7000</x:v>
      </x:c>
      <x:c r="M665" s="37" t="n">
        <x:f>ROUND(E665*G665,2)</x:f>
        <x:v>9800</x:v>
      </x:c>
      <x:c r="N665" s="37" t="n">
        <x:f>ROUND(E665*I665,2)</x:f>
        <x:v>15680</x:v>
      </x:c>
      <x:c r="O665" s="18" t="str">
        <x:v>Assumed effort, not repository-audited vendor quote. Low125/base175 allowances; high280 published Worthwhile comparator. Creator engineering not added again.</x:v>
      </x:c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ht="48" customHeight="1">
      <x:c r="A666" s="1" t="str">
        <x:v>PLA-037</x:v>
      </x:c>
      <x:c r="B666" s="1" t="str">
        <x:v>Platform completion</x:v>
      </x:c>
      <x:c r="C666" s="18" t="str">
        <x:v>Tablet pairing</x:v>
      </x:c>
      <x:c r="D666" s="18" t="str">
        <x:v>engineering/design hour</x:v>
      </x:c>
      <x:c r="E666" s="32" t="n">
        <x:v>48</x:v>
      </x:c>
      <x:c r="F666" s="33" t="n">
        <x:v>125</x:v>
      </x:c>
      <x:c r="G666" s="33" t="n">
        <x:v>175</x:v>
      </x:c>
      <x:c r="H666" s="34" t="str">
        <x:v>one_time</x:v>
      </x:c>
      <x:c r="I666" s="33" t="n">
        <x:v>280</x:v>
      </x:c>
      <x:c r="J666" s="35" t="str">
        <x:v>Planning allowance; written quote needed</x:v>
      </x:c>
      <x:c r="K666" s="36" t="str">
        <x:v>ALLOW</x:v>
      </x:c>
      <x:c r="L666" s="37" t="n">
        <x:f>ROUND(E666*F666,2)</x:f>
        <x:v>6000</x:v>
      </x:c>
      <x:c r="M666" s="37" t="n">
        <x:f>ROUND(E666*G666,2)</x:f>
        <x:v>8400</x:v>
      </x:c>
      <x:c r="N666" s="37" t="n">
        <x:f>ROUND(E666*I666,2)</x:f>
        <x:v>13440</x:v>
      </x:c>
      <x:c r="O666" s="18" t="str">
        <x:v>Assumed effort, not repository-audited vendor quote. Low125/base175 allowances; high280 published Worthwhile comparator. Creator engineering not added again.</x:v>
      </x:c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ht="48" customHeight="1">
      <x:c r="A667" s="1" t="str">
        <x:v>PLA-038</x:v>
      </x:c>
      <x:c r="B667" s="1" t="str">
        <x:v>Platform completion</x:v>
      </x:c>
      <x:c r="C667" s="18" t="str">
        <x:v>MDM branded app deployment</x:v>
      </x:c>
      <x:c r="D667" s="18" t="str">
        <x:v>engineering/design hour</x:v>
      </x:c>
      <x:c r="E667" s="32" t="n">
        <x:v>32</x:v>
      </x:c>
      <x:c r="F667" s="33" t="n">
        <x:v>125</x:v>
      </x:c>
      <x:c r="G667" s="33" t="n">
        <x:v>175</x:v>
      </x:c>
      <x:c r="H667" s="34" t="str">
        <x:v>one_time</x:v>
      </x:c>
      <x:c r="I667" s="33" t="n">
        <x:v>280</x:v>
      </x:c>
      <x:c r="J667" s="35" t="str">
        <x:v>Planning allowance; written quote needed</x:v>
      </x:c>
      <x:c r="K667" s="36" t="str">
        <x:v>ALLOW</x:v>
      </x:c>
      <x:c r="L667" s="37" t="n">
        <x:f>ROUND(E667*F667,2)</x:f>
        <x:v>4000</x:v>
      </x:c>
      <x:c r="M667" s="37" t="n">
        <x:f>ROUND(E667*G667,2)</x:f>
        <x:v>5600</x:v>
      </x:c>
      <x:c r="N667" s="37" t="n">
        <x:f>ROUND(E667*I667,2)</x:f>
        <x:v>8960</x:v>
      </x:c>
      <x:c r="O667" s="18" t="str">
        <x:v>Assumed effort, not repository-audited vendor quote. Low125/base175 allowances; high280 published Worthwhile comparator. Creator engineering not added again.</x:v>
      </x:c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ht="48" customHeight="1">
      <x:c r="A668" s="1" t="str">
        <x:v>PLA-039</x:v>
      </x:c>
      <x:c r="B668" s="1" t="str">
        <x:v>Platform completion</x:v>
      </x:c>
      <x:c r="C668" s="18" t="str">
        <x:v>Spam and SMS opt-out controls</x:v>
      </x:c>
      <x:c r="D668" s="18" t="str">
        <x:v>engineering/design hour</x:v>
      </x:c>
      <x:c r="E668" s="32" t="n">
        <x:v>24</x:v>
      </x:c>
      <x:c r="F668" s="33" t="n">
        <x:v>125</x:v>
      </x:c>
      <x:c r="G668" s="33" t="n">
        <x:v>175</x:v>
      </x:c>
      <x:c r="H668" s="34" t="str">
        <x:v>one_time</x:v>
      </x:c>
      <x:c r="I668" s="33" t="n">
        <x:v>280</x:v>
      </x:c>
      <x:c r="J668" s="35" t="str">
        <x:v>Planning allowance; written quote needed</x:v>
      </x:c>
      <x:c r="K668" s="36" t="str">
        <x:v>ALLOW</x:v>
      </x:c>
      <x:c r="L668" s="37" t="n">
        <x:f>ROUND(E668*F668,2)</x:f>
        <x:v>3000</x:v>
      </x:c>
      <x:c r="M668" s="37" t="n">
        <x:f>ROUND(E668*G668,2)</x:f>
        <x:v>4200</x:v>
      </x:c>
      <x:c r="N668" s="37" t="n">
        <x:f>ROUND(E668*I668,2)</x:f>
        <x:v>6720</x:v>
      </x:c>
      <x:c r="O668" s="18" t="str">
        <x:v>Assumed effort, not repository-audited vendor quote. Low125/base175 allowances; high280 published Worthwhile comparator. Creator engineering not added again.</x:v>
      </x:c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ht="48" customHeight="1">
      <x:c r="A669" s="1" t="str">
        <x:v>PLA-040</x:v>
      </x:c>
      <x:c r="B669" s="1" t="str">
        <x:v>Platform completion</x:v>
      </x:c>
      <x:c r="C669" s="18" t="str">
        <x:v>Transactional email</x:v>
      </x:c>
      <x:c r="D669" s="18" t="str">
        <x:v>engineering/design hour</x:v>
      </x:c>
      <x:c r="E669" s="32" t="n">
        <x:v>32</x:v>
      </x:c>
      <x:c r="F669" s="33" t="n">
        <x:v>125</x:v>
      </x:c>
      <x:c r="G669" s="33" t="n">
        <x:v>175</x:v>
      </x:c>
      <x:c r="H669" s="34" t="str">
        <x:v>one_time</x:v>
      </x:c>
      <x:c r="I669" s="33" t="n">
        <x:v>280</x:v>
      </x:c>
      <x:c r="J669" s="35" t="str">
        <x:v>Planning allowance; written quote needed</x:v>
      </x:c>
      <x:c r="K669" s="36" t="str">
        <x:v>ALLOW</x:v>
      </x:c>
      <x:c r="L669" s="37" t="n">
        <x:f>ROUND(E669*F669,2)</x:f>
        <x:v>4000</x:v>
      </x:c>
      <x:c r="M669" s="37" t="n">
        <x:f>ROUND(E669*G669,2)</x:f>
        <x:v>5600</x:v>
      </x:c>
      <x:c r="N669" s="37" t="n">
        <x:f>ROUND(E669*I669,2)</x:f>
        <x:v>8960</x:v>
      </x:c>
      <x:c r="O669" s="18" t="str">
        <x:v>Assumed effort, not repository-audited vendor quote. Low125/base175 allowances; high280 published Worthwhile comparator. Creator engineering not added again.</x:v>
      </x:c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ht="48" customHeight="1">
      <x:c r="A670" s="1" t="str">
        <x:v>PLA-041</x:v>
      </x:c>
      <x:c r="B670" s="1" t="str">
        <x:v>Platform completion</x:v>
      </x:c>
      <x:c r="C670" s="18" t="str">
        <x:v>Accessibility remediation</x:v>
      </x:c>
      <x:c r="D670" s="18" t="str">
        <x:v>engineering/design hour</x:v>
      </x:c>
      <x:c r="E670" s="32" t="n">
        <x:v>64</x:v>
      </x:c>
      <x:c r="F670" s="33" t="n">
        <x:v>125</x:v>
      </x:c>
      <x:c r="G670" s="33" t="n">
        <x:v>175</x:v>
      </x:c>
      <x:c r="H670" s="34" t="str">
        <x:v>one_time</x:v>
      </x:c>
      <x:c r="I670" s="33" t="n">
        <x:v>280</x:v>
      </x:c>
      <x:c r="J670" s="35" t="str">
        <x:v>Planning allowance; written quote needed</x:v>
      </x:c>
      <x:c r="K670" s="36" t="str">
        <x:v>ALLOW</x:v>
      </x:c>
      <x:c r="L670" s="37" t="n">
        <x:f>ROUND(E670*F670,2)</x:f>
        <x:v>8000</x:v>
      </x:c>
      <x:c r="M670" s="37" t="n">
        <x:f>ROUND(E670*G670,2)</x:f>
        <x:v>11200</x:v>
      </x:c>
      <x:c r="N670" s="37" t="n">
        <x:f>ROUND(E670*I670,2)</x:f>
        <x:v>17920</x:v>
      </x:c>
      <x:c r="O670" s="18" t="str">
        <x:v>Assumed effort, not repository-audited vendor quote. Low125/base175 allowances; high280 published Worthwhile comparator. Creator engineering not added again.</x:v>
      </x:c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ht="48" customHeight="1">
      <x:c r="A671" s="1" t="str">
        <x:v>PLA-042</x:v>
      </x:c>
      <x:c r="B671" s="1" t="str">
        <x:v>Platform completion</x:v>
      </x:c>
      <x:c r="C671" s="18" t="str">
        <x:v>Safari/iPad/media testing</x:v>
      </x:c>
      <x:c r="D671" s="18" t="str">
        <x:v>engineering/design hour</x:v>
      </x:c>
      <x:c r="E671" s="32" t="n">
        <x:v>64</x:v>
      </x:c>
      <x:c r="F671" s="33" t="n">
        <x:v>125</x:v>
      </x:c>
      <x:c r="G671" s="33" t="n">
        <x:v>175</x:v>
      </x:c>
      <x:c r="H671" s="34" t="str">
        <x:v>one_time</x:v>
      </x:c>
      <x:c r="I671" s="33" t="n">
        <x:v>280</x:v>
      </x:c>
      <x:c r="J671" s="35" t="str">
        <x:v>Planning allowance; written quote needed</x:v>
      </x:c>
      <x:c r="K671" s="36" t="str">
        <x:v>ALLOW</x:v>
      </x:c>
      <x:c r="L671" s="37" t="n">
        <x:f>ROUND(E671*F671,2)</x:f>
        <x:v>8000</x:v>
      </x:c>
      <x:c r="M671" s="37" t="n">
        <x:f>ROUND(E671*G671,2)</x:f>
        <x:v>11200</x:v>
      </x:c>
      <x:c r="N671" s="37" t="n">
        <x:f>ROUND(E671*I671,2)</x:f>
        <x:v>17920</x:v>
      </x:c>
      <x:c r="O671" s="18" t="str">
        <x:v>Assumed effort, not repository-audited vendor quote. Low125/base175 allowances; high280 published Worthwhile comparator. Creator engineering not added again.</x:v>
      </x:c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ht="48" customHeight="1">
      <x:c r="A672" s="1" t="str">
        <x:v>PLA-043</x:v>
      </x:c>
      <x:c r="B672" s="1" t="str">
        <x:v>Platform completion</x:v>
      </x:c>
      <x:c r="C672" s="18" t="str">
        <x:v>Role persistence and isolation tests</x:v>
      </x:c>
      <x:c r="D672" s="18" t="str">
        <x:v>engineering/design hour</x:v>
      </x:c>
      <x:c r="E672" s="32" t="n">
        <x:v>64</x:v>
      </x:c>
      <x:c r="F672" s="33" t="n">
        <x:v>125</x:v>
      </x:c>
      <x:c r="G672" s="33" t="n">
        <x:v>175</x:v>
      </x:c>
      <x:c r="H672" s="34" t="str">
        <x:v>one_time</x:v>
      </x:c>
      <x:c r="I672" s="33" t="n">
        <x:v>280</x:v>
      </x:c>
      <x:c r="J672" s="35" t="str">
        <x:v>Planning allowance; written quote needed</x:v>
      </x:c>
      <x:c r="K672" s="36" t="str">
        <x:v>ALLOW</x:v>
      </x:c>
      <x:c r="L672" s="37" t="n">
        <x:f>ROUND(E672*F672,2)</x:f>
        <x:v>8000</x:v>
      </x:c>
      <x:c r="M672" s="37" t="n">
        <x:f>ROUND(E672*G672,2)</x:f>
        <x:v>11200</x:v>
      </x:c>
      <x:c r="N672" s="37" t="n">
        <x:f>ROUND(E672*I672,2)</x:f>
        <x:v>17920</x:v>
      </x:c>
      <x:c r="O672" s="18" t="str">
        <x:v>Assumed effort, not repository-audited vendor quote. Low125/base175 allowances; high280 published Worthwhile comparator. Creator engineering not added again.</x:v>
      </x:c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ht="48" customHeight="1">
      <x:c r="A673" s="1" t="str">
        <x:v>PLA-044</x:v>
      </x:c>
      <x:c r="B673" s="1" t="str">
        <x:v>Platform completion</x:v>
      </x:c>
      <x:c r="C673" s="18" t="str">
        <x:v>Performance</x:v>
      </x:c>
      <x:c r="D673" s="18" t="str">
        <x:v>engineering/design hour</x:v>
      </x:c>
      <x:c r="E673" s="32" t="n">
        <x:v>40</x:v>
      </x:c>
      <x:c r="F673" s="33" t="n">
        <x:v>125</x:v>
      </x:c>
      <x:c r="G673" s="33" t="n">
        <x:v>175</x:v>
      </x:c>
      <x:c r="H673" s="34" t="str">
        <x:v>one_time</x:v>
      </x:c>
      <x:c r="I673" s="33" t="n">
        <x:v>280</x:v>
      </x:c>
      <x:c r="J673" s="35" t="str">
        <x:v>Planning allowance; written quote needed</x:v>
      </x:c>
      <x:c r="K673" s="36" t="str">
        <x:v>ALLOW</x:v>
      </x:c>
      <x:c r="L673" s="37" t="n">
        <x:f>ROUND(E673*F673,2)</x:f>
        <x:v>5000</x:v>
      </x:c>
      <x:c r="M673" s="37" t="n">
        <x:f>ROUND(E673*G673,2)</x:f>
        <x:v>7000</x:v>
      </x:c>
      <x:c r="N673" s="37" t="n">
        <x:f>ROUND(E673*I673,2)</x:f>
        <x:v>11200</x:v>
      </x:c>
      <x:c r="O673" s="18" t="str">
        <x:v>Assumed effort, not repository-audited vendor quote. Low125/base175 allowances; high280 published Worthwhile comparator. Creator engineering not added again.</x:v>
      </x:c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ht="48" customHeight="1">
      <x:c r="A674" s="1" t="str">
        <x:v>PLA-045</x:v>
      </x:c>
      <x:c r="B674" s="1" t="str">
        <x:v>Platform completion</x:v>
      </x:c>
      <x:c r="C674" s="18" t="str">
        <x:v>Security remediation allowance</x:v>
      </x:c>
      <x:c r="D674" s="18" t="str">
        <x:v>engineering/design hour</x:v>
      </x:c>
      <x:c r="E674" s="32" t="n">
        <x:v>64</x:v>
      </x:c>
      <x:c r="F674" s="33" t="n">
        <x:v>125</x:v>
      </x:c>
      <x:c r="G674" s="33" t="n">
        <x:v>175</x:v>
      </x:c>
      <x:c r="H674" s="34" t="str">
        <x:v>one_time</x:v>
      </x:c>
      <x:c r="I674" s="33" t="n">
        <x:v>280</x:v>
      </x:c>
      <x:c r="J674" s="35" t="str">
        <x:v>Planning allowance; written quote needed</x:v>
      </x:c>
      <x:c r="K674" s="36" t="str">
        <x:v>ALLOW</x:v>
      </x:c>
      <x:c r="L674" s="37" t="n">
        <x:f>ROUND(E674*F674,2)</x:f>
        <x:v>8000</x:v>
      </x:c>
      <x:c r="M674" s="37" t="n">
        <x:f>ROUND(E674*G674,2)</x:f>
        <x:v>11200</x:v>
      </x:c>
      <x:c r="N674" s="37" t="n">
        <x:f>ROUND(E674*I674,2)</x:f>
        <x:v>17920</x:v>
      </x:c>
      <x:c r="O674" s="18" t="str">
        <x:v>Assumed effort, not repository-audited vendor quote. Low125/base175 allowances; high280 published Worthwhile comparator. Creator engineering not added again.</x:v>
      </x:c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ht="48" customHeight="1">
      <x:c r="A675" s="1" t="str">
        <x:v>PLA-046</x:v>
      </x:c>
      <x:c r="B675" s="1" t="str">
        <x:v>Platform completion</x:v>
      </x:c>
      <x:c r="C675" s="18" t="str">
        <x:v>Staging production deployment</x:v>
      </x:c>
      <x:c r="D675" s="18" t="str">
        <x:v>engineering/design hour</x:v>
      </x:c>
      <x:c r="E675" s="32" t="n">
        <x:v>40</x:v>
      </x:c>
      <x:c r="F675" s="33" t="n">
        <x:v>125</x:v>
      </x:c>
      <x:c r="G675" s="33" t="n">
        <x:v>175</x:v>
      </x:c>
      <x:c r="H675" s="34" t="str">
        <x:v>one_time</x:v>
      </x:c>
      <x:c r="I675" s="33" t="n">
        <x:v>280</x:v>
      </x:c>
      <x:c r="J675" s="35" t="str">
        <x:v>Planning allowance; written quote needed</x:v>
      </x:c>
      <x:c r="K675" s="36" t="str">
        <x:v>ALLOW</x:v>
      </x:c>
      <x:c r="L675" s="37" t="n">
        <x:f>ROUND(E675*F675,2)</x:f>
        <x:v>5000</x:v>
      </x:c>
      <x:c r="M675" s="37" t="n">
        <x:f>ROUND(E675*G675,2)</x:f>
        <x:v>7000</x:v>
      </x:c>
      <x:c r="N675" s="37" t="n">
        <x:f>ROUND(E675*I675,2)</x:f>
        <x:v>11200</x:v>
      </x:c>
      <x:c r="O675" s="18" t="str">
        <x:v>Assumed effort, not repository-audited vendor quote. Low125/base175 allowances; high280 published Worthwhile comparator. Creator engineering not added again.</x:v>
      </x:c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ht="48" customHeight="1">
      <x:c r="A676" s="1" t="str">
        <x:v>PLA-047</x:v>
      </x:c>
      <x:c r="B676" s="1" t="str">
        <x:v>Platform completion</x:v>
      </x:c>
      <x:c r="C676" s="18" t="str">
        <x:v>Database backups</x:v>
      </x:c>
      <x:c r="D676" s="18" t="str">
        <x:v>engineering/design hour</x:v>
      </x:c>
      <x:c r="E676" s="32" t="n">
        <x:v>24</x:v>
      </x:c>
      <x:c r="F676" s="33" t="n">
        <x:v>125</x:v>
      </x:c>
      <x:c r="G676" s="33" t="n">
        <x:v>175</x:v>
      </x:c>
      <x:c r="H676" s="34" t="str">
        <x:v>one_time</x:v>
      </x:c>
      <x:c r="I676" s="33" t="n">
        <x:v>280</x:v>
      </x:c>
      <x:c r="J676" s="35" t="str">
        <x:v>Planning allowance; written quote needed</x:v>
      </x:c>
      <x:c r="K676" s="36" t="str">
        <x:v>ALLOW</x:v>
      </x:c>
      <x:c r="L676" s="37" t="n">
        <x:f>ROUND(E676*F676,2)</x:f>
        <x:v>3000</x:v>
      </x:c>
      <x:c r="M676" s="37" t="n">
        <x:f>ROUND(E676*G676,2)</x:f>
        <x:v>4200</x:v>
      </x:c>
      <x:c r="N676" s="37" t="n">
        <x:f>ROUND(E676*I676,2)</x:f>
        <x:v>6720</x:v>
      </x:c>
      <x:c r="O676" s="18" t="str">
        <x:v>Assumed effort, not repository-audited vendor quote. Low125/base175 allowances; high280 published Worthwhile comparator. Creator engineering not added again.</x:v>
      </x:c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ht="48" customHeight="1">
      <x:c r="A677" s="1" t="str">
        <x:v>PLA-048</x:v>
      </x:c>
      <x:c r="B677" s="1" t="str">
        <x:v>Platform completion</x:v>
      </x:c>
      <x:c r="C677" s="18" t="str">
        <x:v>Object backups automation</x:v>
      </x:c>
      <x:c r="D677" s="18" t="str">
        <x:v>engineering/design hour</x:v>
      </x:c>
      <x:c r="E677" s="32" t="n">
        <x:v>40</x:v>
      </x:c>
      <x:c r="F677" s="33" t="n">
        <x:v>125</x:v>
      </x:c>
      <x:c r="G677" s="33" t="n">
        <x:v>175</x:v>
      </x:c>
      <x:c r="H677" s="34" t="str">
        <x:v>one_time</x:v>
      </x:c>
      <x:c r="I677" s="33" t="n">
        <x:v>280</x:v>
      </x:c>
      <x:c r="J677" s="35" t="str">
        <x:v>Planning allowance; written quote needed</x:v>
      </x:c>
      <x:c r="K677" s="36" t="str">
        <x:v>ALLOW</x:v>
      </x:c>
      <x:c r="L677" s="37" t="n">
        <x:f>ROUND(E677*F677,2)</x:f>
        <x:v>5000</x:v>
      </x:c>
      <x:c r="M677" s="37" t="n">
        <x:f>ROUND(E677*G677,2)</x:f>
        <x:v>7000</x:v>
      </x:c>
      <x:c r="N677" s="37" t="n">
        <x:f>ROUND(E677*I677,2)</x:f>
        <x:v>11200</x:v>
      </x:c>
      <x:c r="O677" s="18" t="str">
        <x:v>Assumed effort, not repository-audited vendor quote. Low125/base175 allowances; high280 published Worthwhile comparator. Creator engineering not added again.</x:v>
      </x:c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ht="48" customHeight="1">
      <x:c r="A678" s="1" t="str">
        <x:v>PLA-049</x:v>
      </x:c>
      <x:c r="B678" s="1" t="str">
        <x:v>Platform completion</x:v>
      </x:c>
      <x:c r="C678" s="18" t="str">
        <x:v>Disaster recovery/incident rehearsal</x:v>
      </x:c>
      <x:c r="D678" s="18" t="str">
        <x:v>engineering/design hour</x:v>
      </x:c>
      <x:c r="E678" s="32" t="n">
        <x:v>32</x:v>
      </x:c>
      <x:c r="F678" s="33" t="n">
        <x:v>125</x:v>
      </x:c>
      <x:c r="G678" s="33" t="n">
        <x:v>175</x:v>
      </x:c>
      <x:c r="H678" s="34" t="str">
        <x:v>one_time</x:v>
      </x:c>
      <x:c r="I678" s="33" t="n">
        <x:v>280</x:v>
      </x:c>
      <x:c r="J678" s="35" t="str">
        <x:v>Planning allowance; written quote needed</x:v>
      </x:c>
      <x:c r="K678" s="36" t="str">
        <x:v>ALLOW</x:v>
      </x:c>
      <x:c r="L678" s="37" t="n">
        <x:f>ROUND(E678*F678,2)</x:f>
        <x:v>4000</x:v>
      </x:c>
      <x:c r="M678" s="37" t="n">
        <x:f>ROUND(E678*G678,2)</x:f>
        <x:v>5600</x:v>
      </x:c>
      <x:c r="N678" s="37" t="n">
        <x:f>ROUND(E678*I678,2)</x:f>
        <x:v>8960</x:v>
      </x:c>
      <x:c r="O678" s="18" t="str">
        <x:v>Assumed effort, not repository-audited vendor quote. Low125/base175 allowances; high280 published Worthwhile comparator. Creator engineering not added again.</x:v>
      </x:c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ht="48" customHeight="1">
      <x:c r="A679" s="1" t="str">
        <x:v>PLA-050</x:v>
      </x:c>
      <x:c r="B679" s="1" t="str">
        <x:v>Platform completion</x:v>
      </x:c>
      <x:c r="C679" s="18" t="str">
        <x:v>Retention and deletion</x:v>
      </x:c>
      <x:c r="D679" s="18" t="str">
        <x:v>engineering/design hour</x:v>
      </x:c>
      <x:c r="E679" s="32" t="n">
        <x:v>40</x:v>
      </x:c>
      <x:c r="F679" s="33" t="n">
        <x:v>125</x:v>
      </x:c>
      <x:c r="G679" s="33" t="n">
        <x:v>175</x:v>
      </x:c>
      <x:c r="H679" s="34" t="str">
        <x:v>one_time</x:v>
      </x:c>
      <x:c r="I679" s="33" t="n">
        <x:v>280</x:v>
      </x:c>
      <x:c r="J679" s="35" t="str">
        <x:v>Planning allowance; written quote needed</x:v>
      </x:c>
      <x:c r="K679" s="36" t="str">
        <x:v>ALLOW</x:v>
      </x:c>
      <x:c r="L679" s="37" t="n">
        <x:f>ROUND(E679*F679,2)</x:f>
        <x:v>5000</x:v>
      </x:c>
      <x:c r="M679" s="37" t="n">
        <x:f>ROUND(E679*G679,2)</x:f>
        <x:v>7000</x:v>
      </x:c>
      <x:c r="N679" s="37" t="n">
        <x:f>ROUND(E679*I679,2)</x:f>
        <x:v>11200</x:v>
      </x:c>
      <x:c r="O679" s="18" t="str">
        <x:v>Assumed effort, not repository-audited vendor quote. Low125/base175 allowances; high280 published Worthwhile comparator. Creator engineering not added again.</x:v>
      </x:c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ht="48" customHeight="1">
      <x:c r="A680" s="1" t="str">
        <x:v>PLA-051</x:v>
      </x:c>
      <x:c r="B680" s="1" t="str">
        <x:v>Platform completion</x:v>
      </x:c>
      <x:c r="C680" s="18" t="str">
        <x:v>Secrets and DNS</x:v>
      </x:c>
      <x:c r="D680" s="18" t="str">
        <x:v>engineering/design hour</x:v>
      </x:c>
      <x:c r="E680" s="32" t="n">
        <x:v>24</x:v>
      </x:c>
      <x:c r="F680" s="33" t="n">
        <x:v>125</x:v>
      </x:c>
      <x:c r="G680" s="33" t="n">
        <x:v>175</x:v>
      </x:c>
      <x:c r="H680" s="34" t="str">
        <x:v>one_time</x:v>
      </x:c>
      <x:c r="I680" s="33" t="n">
        <x:v>280</x:v>
      </x:c>
      <x:c r="J680" s="35" t="str">
        <x:v>Planning allowance; written quote needed</x:v>
      </x:c>
      <x:c r="K680" s="36" t="str">
        <x:v>ALLOW</x:v>
      </x:c>
      <x:c r="L680" s="37" t="n">
        <x:f>ROUND(E680*F680,2)</x:f>
        <x:v>3000</x:v>
      </x:c>
      <x:c r="M680" s="37" t="n">
        <x:f>ROUND(E680*G680,2)</x:f>
        <x:v>4200</x:v>
      </x:c>
      <x:c r="N680" s="37" t="n">
        <x:f>ROUND(E680*I680,2)</x:f>
        <x:v>6720</x:v>
      </x:c>
      <x:c r="O680" s="18" t="str">
        <x:v>Assumed effort, not repository-audited vendor quote. Low125/base175 allowances; high280 published Worthwhile comparator. Creator engineering not added again.</x:v>
      </x:c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ht="48" customHeight="1">
      <x:c r="A681" s="1" t="str">
        <x:v>PLA-052</x:v>
      </x:c>
      <x:c r="B681" s="1" t="str">
        <x:v>Platform completion</x:v>
      </x:c>
      <x:c r="C681" s="18" t="str">
        <x:v>Migration</x:v>
      </x:c>
      <x:c r="D681" s="18" t="str">
        <x:v>engineering/design hour</x:v>
      </x:c>
      <x:c r="E681" s="32" t="n">
        <x:v>40</x:v>
      </x:c>
      <x:c r="F681" s="33" t="n">
        <x:v>125</x:v>
      </x:c>
      <x:c r="G681" s="33" t="n">
        <x:v>175</x:v>
      </x:c>
      <x:c r="H681" s="34" t="str">
        <x:v>one_time</x:v>
      </x:c>
      <x:c r="I681" s="33" t="n">
        <x:v>280</x:v>
      </x:c>
      <x:c r="J681" s="35" t="str">
        <x:v>Planning allowance; written quote needed</x:v>
      </x:c>
      <x:c r="K681" s="36" t="str">
        <x:v>ALLOW</x:v>
      </x:c>
      <x:c r="L681" s="37" t="n">
        <x:f>ROUND(E681*F681,2)</x:f>
        <x:v>5000</x:v>
      </x:c>
      <x:c r="M681" s="37" t="n">
        <x:f>ROUND(E681*G681,2)</x:f>
        <x:v>7000</x:v>
      </x:c>
      <x:c r="N681" s="37" t="n">
        <x:f>ROUND(E681*I681,2)</x:f>
        <x:v>11200</x:v>
      </x:c>
      <x:c r="O681" s="18" t="str">
        <x:v>Assumed effort, not repository-audited vendor quote. Low125/base175 allowances; high280 published Worthwhile comparator. Creator engineering not added again.</x:v>
      </x:c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ht="48" customHeight="1">
      <x:c r="A682" s="1" t="str">
        <x:v>PLA-053</x:v>
      </x:c>
      <x:c r="B682" s="1" t="str">
        <x:v>Platform completion</x:v>
      </x:c>
      <x:c r="C682" s="18" t="str">
        <x:v>Training materials</x:v>
      </x:c>
      <x:c r="D682" s="18" t="str">
        <x:v>engineering/design hour</x:v>
      </x:c>
      <x:c r="E682" s="32" t="n">
        <x:v>32</x:v>
      </x:c>
      <x:c r="F682" s="33" t="n">
        <x:v>125</x:v>
      </x:c>
      <x:c r="G682" s="33" t="n">
        <x:v>175</x:v>
      </x:c>
      <x:c r="H682" s="34" t="str">
        <x:v>one_time</x:v>
      </x:c>
      <x:c r="I682" s="33" t="n">
        <x:v>280</x:v>
      </x:c>
      <x:c r="J682" s="35" t="str">
        <x:v>Planning allowance; written quote needed</x:v>
      </x:c>
      <x:c r="K682" s="36" t="str">
        <x:v>ALLOW</x:v>
      </x:c>
      <x:c r="L682" s="37" t="n">
        <x:f>ROUND(E682*F682,2)</x:f>
        <x:v>4000</x:v>
      </x:c>
      <x:c r="M682" s="37" t="n">
        <x:f>ROUND(E682*G682,2)</x:f>
        <x:v>5600</x:v>
      </x:c>
      <x:c r="N682" s="37" t="n">
        <x:f>ROUND(E682*I682,2)</x:f>
        <x:v>8960</x:v>
      </x:c>
      <x:c r="O682" s="18" t="str">
        <x:v>Assumed effort, not repository-audited vendor quote. Low125/base175 allowances; high280 published Worthwhile comparator. Creator engineering not added again.</x:v>
      </x:c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ht="48" customHeight="1">
      <x:c r="A683" s="1" t="str">
        <x:v>PLA-054</x:v>
      </x:c>
      <x:c r="B683" s="1" t="str">
        <x:v>Platform completion</x:v>
      </x:c>
      <x:c r="C683" s="18" t="str">
        <x:v>Acceptance testing</x:v>
      </x:c>
      <x:c r="D683" s="18" t="str">
        <x:v>engineering/design hour</x:v>
      </x:c>
      <x:c r="E683" s="32" t="n">
        <x:v>40</x:v>
      </x:c>
      <x:c r="F683" s="33" t="n">
        <x:v>125</x:v>
      </x:c>
      <x:c r="G683" s="33" t="n">
        <x:v>175</x:v>
      </x:c>
      <x:c r="H683" s="34" t="str">
        <x:v>one_time</x:v>
      </x:c>
      <x:c r="I683" s="33" t="n">
        <x:v>280</x:v>
      </x:c>
      <x:c r="J683" s="35" t="str">
        <x:v>Planning allowance; written quote needed</x:v>
      </x:c>
      <x:c r="K683" s="36" t="str">
        <x:v>ALLOW</x:v>
      </x:c>
      <x:c r="L683" s="37" t="n">
        <x:f>ROUND(E683*F683,2)</x:f>
        <x:v>5000</x:v>
      </x:c>
      <x:c r="M683" s="37" t="n">
        <x:f>ROUND(E683*G683,2)</x:f>
        <x:v>7000</x:v>
      </x:c>
      <x:c r="N683" s="37" t="n">
        <x:f>ROUND(E683*I683,2)</x:f>
        <x:v>11200</x:v>
      </x:c>
      <x:c r="O683" s="18" t="str">
        <x:v>Assumed effort, not repository-audited vendor quote. Low125/base175 allowances; high280 published Worthwhile comparator. Creator engineering not added again.</x:v>
      </x:c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ht="48" customHeight="1">
      <x:c r="A684" s="1" t="str">
        <x:v>PLA-055</x:v>
      </x:c>
      <x:c r="B684" s="1" t="str">
        <x:v>Platform completion</x:v>
      </x:c>
      <x:c r="C684" s="18" t="str">
        <x:v>Launch and rollback</x:v>
      </x:c>
      <x:c r="D684" s="18" t="str">
        <x:v>engineering/design hour</x:v>
      </x:c>
      <x:c r="E684" s="32" t="n">
        <x:v>32</x:v>
      </x:c>
      <x:c r="F684" s="33" t="n">
        <x:v>125</x:v>
      </x:c>
      <x:c r="G684" s="33" t="n">
        <x:v>175</x:v>
      </x:c>
      <x:c r="H684" s="34" t="str">
        <x:v>one_time</x:v>
      </x:c>
      <x:c r="I684" s="33" t="n">
        <x:v>280</x:v>
      </x:c>
      <x:c r="J684" s="35" t="str">
        <x:v>Planning allowance; written quote needed</x:v>
      </x:c>
      <x:c r="K684" s="36" t="str">
        <x:v>ALLOW</x:v>
      </x:c>
      <x:c r="L684" s="37" t="n">
        <x:f>ROUND(E684*F684,2)</x:f>
        <x:v>4000</x:v>
      </x:c>
      <x:c r="M684" s="37" t="n">
        <x:f>ROUND(E684*G684,2)</x:f>
        <x:v>5600</x:v>
      </x:c>
      <x:c r="N684" s="37" t="n">
        <x:f>ROUND(E684*I684,2)</x:f>
        <x:v>8960</x:v>
      </x:c>
      <x:c r="O684" s="18" t="str">
        <x:v>Assumed effort, not repository-audited vendor quote. Low125/base175 allowances; high280 published Worthwhile comparator. Creator engineering not added again.</x:v>
      </x:c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ht="48" customHeight="1">
      <x:c r="A685" s="1" t="str">
        <x:v>PLA-056</x:v>
      </x:c>
      <x:c r="B685" s="1" t="str">
        <x:v>Platform completion</x:v>
      </x:c>
      <x:c r="C685" s="18" t="str">
        <x:v>Delivery project management</x:v>
      </x:c>
      <x:c r="D685" s="18" t="str">
        <x:v>engineering/design hour</x:v>
      </x:c>
      <x:c r="E685" s="32" t="n">
        <x:v>120</x:v>
      </x:c>
      <x:c r="F685" s="33" t="n">
        <x:v>125</x:v>
      </x:c>
      <x:c r="G685" s="33" t="n">
        <x:v>175</x:v>
      </x:c>
      <x:c r="H685" s="34" t="str">
        <x:v>one_time</x:v>
      </x:c>
      <x:c r="I685" s="33" t="n">
        <x:v>280</x:v>
      </x:c>
      <x:c r="J685" s="35" t="str">
        <x:v>Planning allowance; written quote needed</x:v>
      </x:c>
      <x:c r="K685" s="36" t="str">
        <x:v>ALLOW</x:v>
      </x:c>
      <x:c r="L685" s="37" t="n">
        <x:f>ROUND(E685*F685,2)</x:f>
        <x:v>15000</x:v>
      </x:c>
      <x:c r="M685" s="37" t="n">
        <x:f>ROUND(E685*G685,2)</x:f>
        <x:v>21000</x:v>
      </x:c>
      <x:c r="N685" s="37" t="n">
        <x:f>ROUND(E685*I685,2)</x:f>
        <x:v>33600</x:v>
      </x:c>
      <x:c r="O685" s="18" t="str">
        <x:v>Assumed effort, not repository-audited vendor quote. Low125/base175 allowances; high280 published Worthwhile comparator. Creator engineering not added again.</x:v>
      </x:c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ht="48" customHeight="1">
      <x:c r="A686" s="1" t="str">
        <x:v>TAX-001</x:v>
      </x:c>
      <x:c r="B686" s="1" t="str">
        <x:v>Taxes</x:v>
      </x:c>
      <x:c r="C686" s="18" t="str">
        <x:v>Procurement sales/use tax allowance</x:v>
      </x:c>
      <x:c r="D686" s="18" t="str">
        <x:v>procurement dollar</x:v>
      </x:c>
      <x:c r="E686" s="39" t="n">
        <x:v>65325.95</x:v>
      </x:c>
      <x:c r="F686" s="38" t="n">
        <x:f>ROUND(SUM(L187,L190,L191,L192,L198,L199,L204,L205,L206,L207,L208,L209,L210,L211,L212,L213,L215,L216,L217,L218,L219,L225,L232,L234,L235,L250,L335,L336,L337,L338,L339,L342,L343,L344,L346,L373,L374,L375,L376,L377,L378,L379,L380,L381,L382,L383,L384,L385,L386,L387,L388,L389,L390,L391,L392,L393,L394,L395,L396,L397,L398,L399,L400,L401,L402,L403,L404,L405,L406,L407,L408,L409,L410,L411,L412,L413,L414,L415,L416,L417,L418,L419,L420,L421,L422,L423,L424,L425,L426,L427,L428,L429,L430,L431,L432,L433,L434,L435,L436,L437,L438,L441,L443,L446,L447,L448,L452,L453,L454,L455,L458,L459,L460,L462,L463,L464,L465,L466,L467,L469,L470)*.08,2)/65325.95</x:f>
        <x:v>0.06635112080268254</x:v>
      </x:c>
      <x:c r="G686" s="38" t="n">
        <x:f>ROUND(SUM(M187,M190,M191,M192,M198,M199,M204,M205,M206,M207,M208,M209,M210,M211,M212,M213,M215,M216,M217,M218,M219,M225,M232,M234,M235,M250,M335,M336,M337,M338,M339,M342,M343,M344,M346,M373,M374,M375,M376,M377,M378,M379,M380,M381,M382,M383,M384,M385,M386,M387,M388,M389,M390,M391,M392,M393,M394,M395,M396,M397,M398,M399,M400,M401,M402,M403,M404,M405,M406,M407,M408,M409,M410,M411,M412,M413,M414,M415,M416,M417,M418,M419,M420,M421,M422,M423,M424,M425,M426,M427,M428,M429,M430,M431,M432,M433,M434,M435,M436,M437,M438,M441,M443,M446,M447,M448,M452,M453,M454,M455,M458,M459,M460,M462,M463,M464,M465,M466,M467,M469,M470)*.08,2)/65325.95</x:f>
        <x:v>0.08000006123140957</x:v>
      </x:c>
      <x:c r="H686" s="34" t="str">
        <x:v>one_time</x:v>
      </x:c>
      <x:c r="I686" s="38" t="n">
        <x:f>ROUND(SUM(N187,N190,N191,N192,N198,N199,N204,N205,N206,N207,N208,N209,N210,N211,N212,N213,N215,N216,N217,N218,N219,N225,N232,N234,N235,N250,N335,N336,N337,N338,N339,N342,N343,N344,N346,N373,N374,N375,N376,N377,N378,N379,N380,N381,N382,N383,N384,N385,N386,N387,N388,N389,N390,N391,N392,N393,N394,N395,N396,N397,N398,N399,N400,N401,N402,N403,N404,N405,N406,N407,N408,N409,N410,N411,N412,N413,N414,N415,N416,N417,N418,N419,N420,N421,N422,N423,N424,N425,N426,N427,N428,N429,N430,N431,N432,N433,N434,N435,N436,N437,N438,N441,N443,N446,N447,N448,N452,N453,N454,N455,N458,N459,N460,N462,N463,N464,N465,N466,N467,N469,N470)*.08,2)/65325.95</x:f>
        <x:v>0.09706096887990148</x:v>
      </x:c>
      <x:c r="J686" s="35" t="str">
        <x:v>Planning allowance; written quote needed</x:v>
      </x:c>
      <x:c r="K686" s="36" t="str">
        <x:v>ALLOW</x:v>
      </x:c>
      <x:c r="L686" s="37" t="n">
        <x:f>ROUND(E686*F686,2)</x:f>
        <x:v>4334.45</x:v>
      </x:c>
      <x:c r="M686" s="37" t="n">
        <x:f>ROUND(E686*G686,2)</x:f>
        <x:v>5226.08</x:v>
      </x:c>
      <x:c r="N686" s="37" t="n">
        <x:f>ROUND(E686*I686,2)</x:f>
        <x:v>6340.6</x:v>
      </x:c>
      <x:c r="O686" s="18" t="str">
        <x:v>8% planning allowance only. Resale certificate may remove inventory tax. Actual ship-to jurisdiction, exemptions and taxability must be verified; not income tax. Low/high are -20%/+25% rate sensitivity, not observed market range.</x:v>
      </x:c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ht="48" customHeight="1">
      <x:c r="A687" s="1" t="str">
        <x:v>TAX-002</x:v>
      </x:c>
      <x:c r="B687" s="1" t="str">
        <x:v>Taxes</x:v>
      </x:c>
      <x:c r="C687" s="18" t="str">
        <x:v>Recurring supplies sales/use tax allowance</x:v>
      </x:c>
      <x:c r="D687" s="18" t="str">
        <x:v>procurement dollar</x:v>
      </x:c>
      <x:c r="E687" s="39" t="n">
        <x:v>7988.86</x:v>
      </x:c>
      <x:c r="F687" s="38" t="n">
        <x:f>ROUND(SUM(L157,L158,L178,L179,L180,L181,L188,L193,L220,L221,L222,L223,L224,L226,L227,L228,L229,L230,L231,L233,L245,L439,L440,L442,L444,L445,L449,L450,L451,L456,L457,L468)*.08,2)/7988.86</x:f>
        <x:v>0.06540107099135546</x:v>
      </x:c>
      <x:c r="G687" s="38" t="n">
        <x:f>ROUND(SUM(M157,M158,M178,M179,M180,M181,M188,M193,M220,M221,M222,M223,M224,M226,M227,M228,M229,M230,M231,M233,M245,M439,M440,M442,M444,M445,M449,M450,M451,M456,M457,M468)*.08,2)/7988.86</x:f>
        <x:v>0.08000015020916627</x:v>
      </x:c>
      <x:c r="H687" s="34" t="str">
        <x:v>recurring</x:v>
      </x:c>
      <x:c r="I687" s="38" t="n">
        <x:f>ROUND(SUM(N157,N158,N178,N179,N180,N181,N188,N193,N220,N221,N222,N223,N224,N226,N227,N228,N229,N230,N231,N233,N245,N439,N440,N442,N444,N445,N449,N450,N451,N456,N457,N468)*.08,2)/7988.86</x:f>
        <x:v>0.09824806042414062</x:v>
      </x:c>
      <x:c r="J687" s="35" t="str">
        <x:v>Planning allowance; written quote needed</x:v>
      </x:c>
      <x:c r="K687" s="36" t="str">
        <x:v>ALLOW</x:v>
      </x:c>
      <x:c r="L687" s="37" t="n">
        <x:f>ROUND(E687*F687,2)</x:f>
        <x:v>522.48</x:v>
      </x:c>
      <x:c r="M687" s="37" t="n">
        <x:f>ROUND(E687*G687,2)</x:f>
        <x:v>639.11</x:v>
      </x:c>
      <x:c r="N687" s="37" t="n">
        <x:f>ROUND(E687*I687,2)</x:f>
        <x:v>784.89</x:v>
      </x:c>
      <x:c r="O687" s="18" t="str">
        <x:v>8% planning sales/use tax allowance on the explicitly identified recurring supplies only. Excludes food, labor, services and utilities; actual jurisdiction and exemptions control. Low/high are -20%/+25% rate sensitivity, not observed market range.</x:v>
      </x:c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ht="48" customHeight="1">
      <x:c r="A688" s="1" t="str">
        <x:v>RES-001</x:v>
      </x:c>
      <x:c r="B688" s="1" t="str">
        <x:v>Reserves</x:v>
      </x:c>
      <x:c r="C688" s="18" t="str">
        <x:v>Operating liquidity reserve</x:v>
      </x:c>
      <x:c r="D688" s="18" t="str">
        <x:v>operating month</x:v>
      </x:c>
      <x:c r="E688" s="32" t="n">
        <x:v>3</x:v>
      </x:c>
      <x:c r="F688" s="38" t="n">
        <x:f>ROUND(SUM(L93,L95,L108,L110,L111,L112,L114,L115,L131,L137,L140,L141,L143,L144,L145,L146,L147,L148,L149,L150,L152,L154,L155,L156,L157,L158,L161,L163,L164,L165,L166,L167,L168,L169,L170,L171,L172,L173,L174,L175,L176,L177,L178,L179,L180,L181,L182,L183,L184,L185,L186,L188,L189,L193,L194,L195,L196,L197,L200,L201,L202,L203,L220,L221,L222,L223,L224,L226,L227,L228,L229,L230,L231,L233,L236,L238,L239,L241,L242,L243,L245,L246,L263,L264,L265,L266,L267,L268,L269,L270,L271,L272,L273,L274,L275,L279,L280,L281,L282,L283,L285,L286,L287,L288,L289,L290,L291,L292,L324,L325,L326,L327,L328,L329,L330,L331,L332,L333,L340,L347,L348,L349,L350,L351,L352,L353,L355,L356,L366,L367,L368,L369,L370,L371,L372,L439,L440,L442,L444,L445,L449,L450,L451,L456,L457,L468,L471,L472,L473,L474,L475,L476,L477,L478,L479,L480,L481,L482,L483,L484,L485,L486,L487,L488,L489,L490,L491,L492,L493,L494,L495,L496,L497,L498,L499,L500,L501,L502,L503,L504,L505,L506,L507,L508,L509,L510,L511,L512,L513,L514,L515,L516,L517,L518,L519,L520,L521,L522,L523,L524,L525,L526,L527,L528,L529,L530,L531,L532,L533,L534,L535,L536,L537,L538,L539,L540,L541,L542,L543,L544,L545,L546,L547,L548,L549,L550,L551,L552,L553,L554,L555,L556,L557,L558,L559,L560,L561,L562,L563,L564,L565,L566,L567,L568,L569,L570,L571,L572,L573,L574,L575,L576,L577,L578,L579,L580,L581,L582,L583,L584,L585,L586,L587,L588,L589,L590,L591,L592,L593,L594,L595,L596,L597,L598,L599,L600,L601,L602,L603,L604,L605,L606,L607,L608,L609,L610,L611,L612,L613,L614,L615,L616,L617,L618,L619,L620,L621,L622,L623,L624,L625,L626,L627,L628,L629,L687)/12,6)</x:f>
        <x:v>93203.674167</x:v>
      </x:c>
      <x:c r="G688" s="38" t="n">
        <x:f>ROUND(SUM(M93,M95,M108,M110,M111,M112,M114,M115,M131,M137,M140,M141,M143,M144,M145,M146,M147,M148,M149,M150,M152,M154,M155,M156,M157,M158,M161,M163,M164,M165,M166,M167,M168,M169,M170,M171,M172,M173,M174,M175,M176,M177,M178,M179,M180,M181,M182,M183,M184,M185,M186,M188,M189,M193,M194,M195,M196,M197,M200,M201,M202,M203,M220,M221,M222,M223,M224,M226,M227,M228,M229,M230,M231,M233,M236,M238,M239,M241,M242,M243,M245,M246,M263,M264,M265,M266,M267,M268,M269,M270,M271,M272,M273,M274,M275,M279,M280,M281,M282,M283,M285,M286,M287,M288,M289,M290,M291,M292,M324,M325,M326,M327,M328,M329,M330,M331,M332,M333,M340,M347,M348,M349,M350,M351,M352,M353,M355,M356,M366,M367,M368,M369,M370,M371,M372,M439,M440,M442,M444,M445,M449,M450,M451,M456,M457,M468,M471,M472,M473,M474,M475,M476,M477,M478,M479,M480,M481,M482,M483,M484,M485,M486,M487,M488,M489,M490,M491,M492,M493,M494,M495,M496,M497,M498,M499,M500,M501,M502,M503,M504,M505,M506,M507,M508,M509,M510,M511,M512,M513,M514,M515,M516,M517,M518,M519,M520,M521,M522,M523,M524,M525,M526,M527,M528,M529,M530,M531,M532,M533,M534,M535,M536,M537,M538,M539,M540,M541,M542,M543,M544,M545,M546,M547,M548,M549,M550,M551,M552,M553,M554,M555,M556,M557,M558,M559,M560,M561,M562,M563,M564,M565,M566,M567,M568,M569,M570,M571,M572,M573,M574,M575,M576,M577,M578,M579,M580,M581,M582,M583,M584,M585,M586,M587,M588,M589,M590,M591,M592,M593,M594,M595,M596,M597,M598,M599,M600,M601,M602,M603,M604,M605,M606,M607,M608,M609,M610,M611,M612,M613,M614,M615,M616,M617,M618,M619,M620,M621,M622,M623,M624,M625,M626,M627,M628,M629,M687)/12,6)</x:f>
        <x:v>105578.515</x:v>
      </x:c>
      <x:c r="H688" s="34" t="str">
        <x:v>reserve</x:v>
      </x:c>
      <x:c r="I688" s="38" t="n">
        <x:f>ROUND(SUM(N93,N95,N108,N110,N111,N112,N114,N115,N131,N137,N140,N141,N143,N144,N145,N146,N147,N148,N149,N150,N152,N154,N155,N156,N157,N158,N161,N163,N164,N165,N166,N167,N168,N169,N170,N171,N172,N173,N174,N175,N176,N177,N178,N179,N180,N181,N182,N183,N184,N185,N186,N188,N189,N193,N194,N195,N196,N197,N200,N201,N202,N203,N220,N221,N222,N223,N224,N226,N227,N228,N229,N230,N231,N233,N236,N238,N239,N241,N242,N243,N245,N246,N263,N264,N265,N266,N267,N268,N269,N270,N271,N272,N273,N274,N275,N279,N280,N281,N282,N283,N285,N286,N287,N288,N289,N290,N291,N292,N324,N325,N326,N327,N328,N329,N330,N331,N332,N333,N340,N347,N348,N349,N350,N351,N352,N353,N355,N356,N366,N367,N368,N369,N370,N371,N372,N439,N440,N442,N444,N445,N449,N450,N451,N456,N457,N468,N471,N472,N473,N474,N475,N476,N477,N478,N479,N480,N481,N482,N483,N484,N485,N486,N487,N488,N489,N490,N491,N492,N493,N494,N495,N496,N497,N498,N499,N500,N501,N502,N503,N504,N505,N506,N507,N508,N509,N510,N511,N512,N513,N514,N515,N516,N517,N518,N519,N520,N521,N522,N523,N524,N525,N526,N527,N528,N529,N530,N531,N532,N533,N534,N535,N536,N537,N538,N539,N540,N541,N542,N543,N544,N545,N546,N547,N548,N549,N550,N551,N552,N553,N554,N555,N556,N557,N558,N559,N560,N561,N562,N563,N564,N565,N566,N567,N568,N569,N570,N571,N572,N573,N574,N575,N576,N577,N578,N579,N580,N581,N582,N583,N584,N585,N586,N587,N588,N589,N590,N591,N592,N593,N594,N595,N596,N597,N598,N599,N600,N601,N602,N603,N604,N605,N606,N607,N608,N609,N610,N611,N612,N613,N614,N615,N616,N617,N618,N619,N620,N621,N622,N623,N624,N625,N626,N627,N628,N629,N687)/12,6)</x:f>
        <x:v>123134.1725</x:v>
      </x:c>
      <x:c r="J688" s="35" t="str">
        <x:v>Planning allowance; written quote needed</x:v>
      </x:c>
      <x:c r="K688" s="36" t="str">
        <x:v>ALLOW</x:v>
      </x:c>
      <x:c r="L688" s="37" t="n">
        <x:f>ROUND(E688*F688,2)</x:f>
        <x:v>279611.02</x:v>
      </x:c>
      <x:c r="M688" s="37" t="n">
        <x:f>ROUND(E688*G688,2)</x:f>
        <x:v>316735.55</x:v>
      </x:c>
      <x:c r="N688" s="37" t="n">
        <x:f>ROUND(E688*I688,2)</x:f>
        <x:v>369402.52</x:v>
      </x:c>
      <x:c r="O688" s="18" t="str">
        <x:v>Three months of recurring gross cash, no revenue credit; reserve not an additional annual expense. Low/high are -20%/+25% rate sensitivity, not observed market range.</x:v>
      </x:c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ht="48" customHeight="1">
      <x:c r="A689" s="1" t="str">
        <x:v>RES-002</x:v>
      </x:c>
      <x:c r="B689" s="1" t="str">
        <x:v>Reserves</x:v>
      </x:c>
      <x:c r="C689" s="18" t="str">
        <x:v>Delivery rework reserve</x:v>
      </x:c>
      <x:c r="D689" s="18" t="str">
        <x:v>project dollar</x:v>
      </x:c>
      <x:c r="E689" s="39" t="n">
        <x:v>1045102</x:v>
      </x:c>
      <x:c r="F689" s="38" t="n">
        <x:f>ROUND(SUM(L5,L6,L7,L8,L9,L10,L11,L12,L13,L14,L15,L16,L17,L18,L19,L20,L21,L22,L23,L24,L25,L26,L27,L28,L29,L30,L31,L32,L33,L34,L35,L36,L37,L38,L39,L40,L41,L42,L43,L44,L45,L46,L47,L48,L49,L50,L51,L52,L53,L54,L55,L56,L57,L58,L59,L60,L61,L62,L63,L64,L65,L66,L67,L68,L69,L70,L71,L72,L73,L74,L75,L76,L77,L78,L79,L80,L81,L82,L83,L84,L85,L86,L87,L88,L89,L90,L91,L92,L94,L96,L97,L98,L99,L100,L101,L102,L103,L104,L105,L106,L107,L109,L113,L116,L117,L118,L119,L120,L121,L122,L123,L124,L125,L126,L127,L128,L129,L130,L132,L133,L134,L135,L136,L630,L631,L632,L633,L634,L635,L636,L637,L638,L639,L640,L641,L642,L643,L644,L645,L646,L647,L648,L649,L650,L651,L652,L653,L654,L655,L656,L657,L658,L659,L660,L661,L662,L663,L664,L665,L666,L667,L668,L669,L670,L671,L672,L673,L674,L675,L676,L677,L678,L679,L680,L681,L682,L683,L684,L685)*.15,2)/1045102</x:f>
        <x:v>0.11657114807932624</x:v>
      </x:c>
      <x:c r="G689" s="38" t="n">
        <x:f>ROUND(SUM(M5,M6,M7,M8,M9,M10,M11,M12,M13,M14,M15,M16,M17,M18,M19,M20,M21,M22,M23,M24,M25,M26,M27,M28,M29,M30,M31,M32,M33,M34,M35,M36,M37,M38,M39,M40,M41,M42,M43,M44,M45,M46,M47,M48,M49,M50,M51,M52,M53,M54,M55,M56,M57,M58,M59,M60,M61,M62,M63,M64,M65,M66,M67,M68,M69,M70,M71,M72,M73,M74,M75,M76,M77,M78,M79,M80,M81,M82,M83,M84,M85,M86,M87,M88,M89,M90,M91,M92,M94,M96,M97,M98,M99,M100,M101,M102,M103,M104,M105,M106,M107,M109,M113,M116,M117,M118,M119,M120,M121,M122,M123,M124,M125,M126,M127,M128,M129,M130,M132,M133,M134,M135,M136,M630,M631,M632,M633,M634,M635,M636,M637,M638,M639,M640,M641,M642,M643,M644,M645,M646,M647,M648,M649,M650,M651,M652,M653,M654,M655,M656,M657,M658,M659,M660,M661,M662,M663,M664,M665,M666,M667,M668,M669,M670,M671,M672,M673,M674,M675,M676,M677,M678,M679,M680,M681,M682,M683,M684,M685)*.15,2)/1045102</x:f>
        <x:v>0.15</x:v>
      </x:c>
      <x:c r="H689" s="34" t="str">
        <x:v>reserve</x:v>
      </x:c>
      <x:c r="I689" s="38" t="n">
        <x:f>ROUND(SUM(N5,N6,N7,N8,N9,N10,N11,N12,N13,N14,N15,N16,N17,N18,N19,N20,N21,N22,N23,N24,N25,N26,N27,N28,N29,N30,N31,N32,N33,N34,N35,N36,N37,N38,N39,N40,N41,N42,N43,N44,N45,N46,N47,N48,N49,N50,N51,N52,N53,N54,N55,N56,N57,N58,N59,N60,N61,N62,N63,N64,N65,N66,N67,N68,N69,N70,N71,N72,N73,N74,N75,N76,N77,N78,N79,N80,N81,N82,N83,N84,N85,N86,N87,N88,N89,N90,N91,N92,N94,N96,N97,N98,N99,N100,N101,N102,N103,N104,N105,N106,N107,N109,N113,N116,N117,N118,N119,N120,N121,N122,N123,N124,N125,N126,N127,N128,N129,N130,N132,N133,N134,N135,N136,N630,N631,N632,N633,N634,N635,N636,N637,N638,N639,N640,N641,N642,N643,N644,N645,N646,N647,N648,N649,N650,N651,N652,N653,N654,N655,N656,N657,N658,N659,N660,N661,N662,N663,N664,N665,N666,N667,N668,N669,N670,N671,N672,N673,N674,N675,N676,N677,N678,N679,N680,N681,N682,N683,N684,N685)*.15,2)/1045102</x:f>
        <x:v>0.2089179812114033</x:v>
      </x:c>
      <x:c r="J689" s="35" t="str">
        <x:v>Planning allowance; written quote needed</x:v>
      </x:c>
      <x:c r="K689" s="36" t="str">
        <x:v>ALLOW</x:v>
      </x:c>
      <x:c r="L689" s="37" t="n">
        <x:f>ROUND(E689*F689,2)</x:f>
        <x:v>121828.74</x:v>
      </x:c>
      <x:c r="M689" s="37" t="n">
        <x:f>ROUND(E689*G689,2)</x:f>
        <x:v>156765.3</x:v>
      </x:c>
      <x:c r="N689" s="37" t="n">
        <x:f>ROUND(E689*I689,2)</x:f>
        <x:v>218340.6</x:v>
      </x:c>
      <x:c r="O689" s="18" t="str">
        <x:v>15% selected one-time platform/content/marketing scope; contingency is funding cash, released only on approved change. Low/high are -20%/+25% rate sensitivity, not observed market range.</x:v>
      </x:c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ht="48" customHeight="1">
      <x:c r="A690" s="1" t="str">
        <x:v>RES-003</x:v>
      </x:c>
      <x:c r="B690" s="1" t="str">
        <x:v>Reserves</x:v>
      </x:c>
      <x:c r="C690" s="18" t="str">
        <x:v>Facility/equipment/deductible reserve</x:v>
      </x:c>
      <x:c r="D690" s="18" t="str">
        <x:v>reserve</x:v>
      </x:c>
      <x:c r="E690" s="32" t="n">
        <x:v>1</x:v>
      </x:c>
      <x:c r="F690" s="33" t="n">
        <x:v>12000</x:v>
      </x:c>
      <x:c r="G690" s="33" t="n">
        <x:v>15000</x:v>
      </x:c>
      <x:c r="H690" s="34" t="str">
        <x:v>reserve</x:v>
      </x:c>
      <x:c r="I690" s="33" t="n">
        <x:v>18750</x:v>
      </x:c>
      <x:c r="J690" s="35" t="str">
        <x:v>Planning allowance; written quote needed</x:v>
      </x:c>
      <x:c r="K690" s="36" t="str">
        <x:v>ALLOW</x:v>
      </x:c>
      <x:c r="L690" s="37" t="n">
        <x:f>ROUND(E690*F690,2)</x:f>
        <x:v>12000</x:v>
      </x:c>
      <x:c r="M690" s="37" t="n">
        <x:f>ROUND(E690*G690,2)</x:f>
        <x:v>15000</x:v>
      </x:c>
      <x:c r="N690" s="37" t="n">
        <x:f>ROUND(E690*I690,2)</x:f>
        <x:v>18750</x:v>
      </x:c>
      <x:c r="O690" s="18" t="str">
        <x:v>Facility repairs, deductibles and equipment replacement pooled; no separate overlapping repair reserves. Major renovation beyond stated surfacing excluded. Low/high are -20%/+25% rate sensitivity, not observed market range.</x:v>
      </x:c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2ec7a99634d4880"/>
  </x:tableParts>
</x:worksheet>
</file>

<file path=xl/worksheets/sheet4.xml><?xml version="1.0" encoding="utf-8"?>
<x:worksheet xmlns:x="http://schemas.openxmlformats.org/spreadsheetml/2006/main">
  <x:sheetPr>
    <x:tabColor rgb="FFEAF5F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72" hidden="0" customWidth="1"/>
    <x:col min="4" max="4" width="28" hidden="0" customWidth="1"/>
    <x:col min="5" max="5" width="46" hidden="0" customWidth="1"/>
  </x:cols>
  <x:sheetData>
    <x:row r="1" ht="34" customHeight="1">
      <x:c r="A1" s="4" t="str">
        <x:v>Sources | research trail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7" t="str">
        <x:v>Source IDs are used on every cost line. Basis distinguishes published price, planning allowance, comparison, or quote-required work.</x:v>
      </x:c>
      <x:c r="B2" s="7"/>
      <x:c r="C2" s="7"/>
      <x:c r="D2" s="7"/>
      <x:c r="E2" s="7"/>
      <x:c r="F2" s="7"/>
      <x:c r="G2" s="7"/>
      <x:c r="H2" s="7"/>
      <x:c r="I2" s="7"/>
      <x:c r="J2" s="7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13" t="str">
        <x:v>Source ID</x:v>
      </x:c>
      <x:c r="B4" s="13" t="str">
        <x:v>Title</x:v>
      </x:c>
      <x:c r="C4" s="13" t="str">
        <x:v>URL</x:v>
      </x:c>
      <x:c r="D4" s="13" t="str">
        <x:v>Basis</x:v>
      </x:c>
      <x:c r="E4" s="13" t="str">
        <x:v>Checked / notes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68" customHeight="1">
      <x:c r="A5" s="1" t="str">
        <x:v>ALLOW</x:v>
      </x:c>
      <x:c r="B5" s="18" t="str">
        <x:v>Management planning allowance</x:v>
      </x:c>
      <x:c r="C5" s="41" t="str"/>
      <x:c r="D5" s="18" t="str">
        <x:v>No supplier quote. Explicit working rate, not a market average or binding price. Obtain scoped written quotes.</x:v>
      </x:c>
      <x:c r="E5" s="18" t="str">
        <x:v>2026-10-10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68" customHeight="1">
      <x:c r="A6" s="1" t="str">
        <x:v>DEV</x:v>
      </x:c>
      <x:c r="B6" s="18" t="str">
        <x:v>Worthwhile rate card</x:v>
      </x:c>
      <x:c r="C6" s="41" t="str">
        <x:v>https://www.worthwhile.com/rates</x:v>
      </x:c>
      <x:c r="D6" s="18" t="str">
        <x:v>Published development, QA and UX $280/hour; consulting $350. Single vendor, not market average.</x:v>
      </x:c>
      <x:c r="E6" s="18" t="str">
        <x:v>2026-10-10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68" customHeight="1">
      <x:c r="A7" s="1" t="str">
        <x:v>ANIM</x:v>
      </x:c>
      <x:c r="B7" s="18" t="str">
        <x:v>Animation Bakery</x:v>
      </x:c>
      <x:c r="C7" s="41" t="str">
        <x:v>https://www.animationbakery.com/home</x:v>
      </x:c>
      <x:c r="D7" s="18" t="str">
        <x:v>CAD2,000 per finished minute, rigged animation. Scope and usage rights require quote. USD conversion assumption .73, not verified exchange rate.</x:v>
      </x:c>
      <x:c r="E7" s="18" t="str">
        <x:v>2026-10-10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68" customHeight="1">
      <x:c r="A8" s="1" t="str">
        <x:v>ED</x:v>
      </x:c>
      <x:c r="B8" s="18" t="str">
        <x:v>Dr Jen Mata consulting</x:v>
      </x:c>
      <x:c r="C8" s="41" t="str">
        <x:v>https://www.drjenmata.com/services-pricing</x:v>
      </x:c>
      <x:c r="D8" s="18" t="str">
        <x:v>Curriculum $125/hour; educational consulting $100/hour.</x:v>
      </x:c>
      <x:c r="E8" s="18" t="str">
        <x:v>2026-10-10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68" customHeight="1">
      <x:c r="A9" s="1" t="str">
        <x:v>RIVE</x:v>
      </x:c>
      <x:c r="B9" s="18" t="str">
        <x:v>Rive Animator character pricing</x:v>
      </x:c>
      <x:c r="C9" s="41" t="str">
        <x:v>https://riveanimator.com/rive-character-rigging/</x:v>
      </x:c>
      <x:c r="D9" s="18" t="str">
        <x:v>Artwork plus idle $250; design $650; viseme rig $350. Specific deliverables only.</x:v>
      </x:c>
      <x:c r="E9" s="18" t="str">
        <x:v>2026-10-10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68" customHeight="1">
      <x:c r="A10" s="1" t="str">
        <x:v>DUB</x:v>
      </x:c>
      <x:c r="B10" s="18" t="str">
        <x:v>Gotham dubbing</x:v>
      </x:c>
      <x:c r="C10" s="41" t="str">
        <x:v>https://www.gothamlab.com/dubbing-services/</x:v>
      </x:c>
      <x:c r="D10" s="18" t="str">
        <x:v>Published $50–75 per finished minute; scope must confirm adaptation and voice inclusion.</x:v>
      </x:c>
      <x:c r="E10" s="18" t="str">
        <x:v>2026-10-10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68" customHeight="1">
      <x:c r="A11" s="1" t="str">
        <x:v>DIR</x:v>
      </x:c>
      <x:c r="B11" s="18" t="str">
        <x:v>KC education administrator wages</x:v>
      </x:c>
      <x:c r="C11" s="41" t="str">
        <x:v>https://www.onetonline.org/link/localwages/11-9031.00?st=KS</x:v>
      </x:c>
      <x:c r="D11" s="18" t="str">
        <x:v>KC 2025 hourly median $28.05, 75th percentile $29.91.</x:v>
      </x:c>
      <x:c r="E11" s="18" t="str">
        <x:v>2026-10-10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68" customHeight="1">
      <x:c r="A12" s="1" t="str">
        <x:v>TEACH</x:v>
      </x:c>
      <x:c r="B12" s="18" t="str">
        <x:v>KC preschool teacher wages</x:v>
      </x:c>
      <x:c r="C12" s="41" t="str">
        <x:v>https://www.onetonline.org/link/localwages/25-2011.00?st=MO</x:v>
      </x:c>
      <x:c r="D12" s="18" t="str">
        <x:v>KC median $17.98; 75th percentile $22.34.</x:v>
      </x:c>
      <x:c r="E12" s="18" t="str">
        <x:v>2026-10-10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68" customHeight="1">
      <x:c r="A13" s="1" t="str">
        <x:v>CARE</x:v>
      </x:c>
      <x:c r="B13" s="18" t="str">
        <x:v>KC childcare worker wages</x:v>
      </x:c>
      <x:c r="C13" s="41" t="str">
        <x:v>https://www.onetonline.org/link/localwages/39-9011.00?st=MO</x:v>
      </x:c>
      <x:c r="D13" s="18" t="str">
        <x:v>KC median $15.27; 75th percentile $17.08.</x:v>
      </x:c>
      <x:c r="E13" s="18" t="str">
        <x:v>2026-10-10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68" customHeight="1">
      <x:c r="A14" s="1" t="str">
        <x:v>ADMIN</x:v>
      </x:c>
      <x:c r="B14" s="18" t="str">
        <x:v>KC administrative wages</x:v>
      </x:c>
      <x:c r="C14" s="41" t="str">
        <x:v>https://www.onetonline.org/link/localwages/43-6014.00?st=KS</x:v>
      </x:c>
      <x:c r="D14" s="18" t="str">
        <x:v>KC median $22.50; 75th percentile $25.77.</x:v>
      </x:c>
      <x:c r="E14" s="18" t="str">
        <x:v>2026-10-10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68" customHeight="1">
      <x:c r="A15" s="1" t="str">
        <x:v>CLEAN</x:v>
      </x:c>
      <x:c r="B15" s="18" t="str">
        <x:v>KC janitorial wages</x:v>
      </x:c>
      <x:c r="C15" s="41" t="str">
        <x:v>https://www.onetonline.org/link/localwages/37-2011.00?st=MO</x:v>
      </x:c>
      <x:c r="D15" s="18" t="str">
        <x:v>KC median $17.48; 75th percentile $19.48.</x:v>
      </x:c>
      <x:c r="E15" s="18" t="str">
        <x:v>2026-10-10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68" customHeight="1">
      <x:c r="A16" s="1" t="str">
        <x:v>IRS</x:v>
      </x:c>
      <x:c r="B16" s="18" t="str">
        <x:v>2026 employer FICA</x:v>
      </x:c>
      <x:c r="C16" s="41" t="str">
        <x:v>https://www.irs.gov/taxtopics/tc751</x:v>
      </x:c>
      <x:c r="D16" s="18" t="str">
        <x:v>Employer Social Security 6.2%, $184,500 wage cap; Medicare 1.45%.</x:v>
      </x:c>
      <x:c r="E16" s="18" t="str">
        <x:v>2026-10-10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68" customHeight="1">
      <x:c r="A17" s="1" t="str">
        <x:v>FUTA</x:v>
      </x:c>
      <x:c r="B17" s="18" t="str">
        <x:v>Employer tax guide</x:v>
      </x:c>
      <x:c r="C17" s="41" t="str">
        <x:v>https://www.irs.gov/pub/irs-pdf/p15.pdf</x:v>
      </x:c>
      <x:c r="D17" s="18" t="str">
        <x:v>FUTA modeled .6% of first $7,000, assumes full credit; actual credit reduction and eligibility control.</x:v>
      </x:c>
      <x:c r="E17" s="18" t="str">
        <x:v>2026-10-10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68" customHeight="1">
      <x:c r="A18" s="1" t="str">
        <x:v>MOUI</x:v>
      </x:c>
      <x:c r="B18" s="18" t="str">
        <x:v>Missouri employer unemployment</x:v>
      </x:c>
      <x:c r="C18" s="41" t="str">
        <x:v>https://labor.mo.gov/des/employers/tax-rates</x:v>
      </x:c>
      <x:c r="D18" s="18" t="str">
        <x:v>New employer 2.376% of first $9,000; account-specific rate controls.</x:v>
      </x:c>
      <x:c r="E18" s="18" t="str">
        <x:v>2026-10-10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68" customHeight="1">
      <x:c r="A19" s="1" t="str">
        <x:v>LEASE</x:v>
      </x:c>
      <x:c r="B19" s="18" t="str">
        <x:v>KC comparable daycare lease</x:v>
      </x:c>
      <x:c r="C19" s="41" t="str">
        <x:v>https://realmo.com/listing/13026029</x:v>
      </x:c>
      <x:c r="D19" s="18" t="str">
        <x:v>4,500 SF at $24/SF gross; $108,000 annual. Comparable listing, not current center contract.</x:v>
      </x:c>
      <x:c r="E19" s="18" t="str">
        <x:v>2026-10-10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68" customHeight="1">
      <x:c r="A20" s="1" t="str">
        <x:v>GUSTO</x:v>
      </x:c>
      <x:c r="B20" s="18" t="str">
        <x:v>Gusto payroll</x:v>
      </x:c>
      <x:c r="C20" s="41" t="str">
        <x:v>https://gusto.com/product/pricing</x:v>
      </x:c>
      <x:c r="D20" s="18" t="str">
        <x:v>Simple $49/month + $6/person/month; single state. Plus $80 + $12 offers scheduling.</x:v>
      </x:c>
      <x:c r="E20" s="18" t="str">
        <x:v>2026-10-10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68" customHeight="1">
      <x:c r="A21" s="1" t="str">
        <x:v>QB</x:v>
      </x:c>
      <x:c r="B21" s="18" t="str">
        <x:v>QuickBooks Online</x:v>
      </x:c>
      <x:c r="C21" s="41" t="str">
        <x:v>https://quickbooks.intuit.com/online</x:v>
      </x:c>
      <x:c r="D21" s="18" t="str">
        <x:v>Simple Start regular price $38/month, promotional prices excluded.</x:v>
      </x:c>
      <x:c r="E21" s="18" t="str">
        <x:v>2026-10-10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68" customHeight="1">
      <x:c r="A22" s="1" t="str">
        <x:v>DO</x:v>
      </x:c>
      <x:c r="B22" s="18" t="str">
        <x:v>DigitalOcean</x:v>
      </x:c>
      <x:c r="C22" s="41" t="str">
        <x:v>https://www.digitalocean.com/pricing</x:v>
      </x:c>
      <x:c r="D22" s="18" t="str">
        <x:v>Droplets start $4; Spaces $5/month. Selected $48/server allowance must confirm configuration.</x:v>
      </x:c>
      <x:c r="E22" s="18" t="str">
        <x:v>2026-10-10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68" customHeight="1">
      <x:c r="A23" s="1" t="str">
        <x:v>SUPA</x:v>
      </x:c>
      <x:c r="B23" s="18" t="str">
        <x:v>Supabase</x:v>
      </x:c>
      <x:c r="C23" s="41" t="str">
        <x:v>https://supabase.com/pricing</x:v>
      </x:c>
      <x:c r="D23" s="18" t="str">
        <x:v>Pro $25/month; Small $15 minus $10 compute credit = $5 net. PITR $100/month; storage/egress metered.</x:v>
      </x:c>
      <x:c r="E23" s="18" t="str">
        <x:v>2026-10-10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68" customHeight="1">
      <x:c r="A24" s="1" t="str">
        <x:v>RESEND</x:v>
      </x:c>
      <x:c r="B24" s="18" t="str">
        <x:v>Resend</x:v>
      </x:c>
      <x:c r="C24" s="41" t="str">
        <x:v>https://resend.com/pricing</x:v>
      </x:c>
      <x:c r="D24" s="18" t="str">
        <x:v>Pro $20/month, 50,000 emails; .90/1,000 overage.</x:v>
      </x:c>
      <x:c r="E24" s="18" t="str">
        <x:v>2026-10-10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68" customHeight="1">
      <x:c r="A25" s="1" t="str">
        <x:v>SMS</x:v>
      </x:c>
      <x:c r="B25" s="18" t="str">
        <x:v>Twilio US SMS</x:v>
      </x:c>
      <x:c r="C25" s="41" t="str">
        <x:v>https://www.twilio.com/en-us/sms/pricing/us</x:v>
      </x:c>
      <x:c r="D25" s="18" t="str">
        <x:v>SMS .0083/segment; local number $1.15/month. Carrier and A2P registration additional.</x:v>
      </x:c>
      <x:c r="E25" s="18" t="str">
        <x:v>2026-10-10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68" customHeight="1">
      <x:c r="A26" s="1" t="str">
        <x:v>STRIPE</x:v>
      </x:c>
      <x:c r="B26" s="18" t="str">
        <x:v>Stripe</x:v>
      </x:c>
      <x:c r="C26" s="41" t="str">
        <x:v>https://stripe.com/pricing</x:v>
      </x:c>
      <x:c r="D26" s="18" t="str">
        <x:v>Domestic online card 2.9% + .30; Billing .7%. Usage assumptions drive fees.</x:v>
      </x:c>
      <x:c r="E26" s="18" t="str">
        <x:v>2026-10-10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68" customHeight="1">
      <x:c r="A27" s="1" t="str">
        <x:v>R2</x:v>
      </x:c>
      <x:c r="B27" s="18" t="str">
        <x:v>Cloudflare R2</x:v>
      </x:c>
      <x:c r="C27" s="41" t="str">
        <x:v>https://developers.cloudflare.com/r2/pricing</x:v>
      </x:c>
      <x:c r="D27" s="18" t="str">
        <x:v>Standard storage .015/GB-month, 10GB free; operations additional.</x:v>
      </x:c>
      <x:c r="E27" s="18" t="str">
        <x:v>2026-10-10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68" customHeight="1">
      <x:c r="A28" s="1" t="str">
        <x:v>B2</x:v>
      </x:c>
      <x:c r="B28" s="18" t="str">
        <x:v>Backblaze B2</x:v>
      </x:c>
      <x:c r="C28" s="41" t="str">
        <x:v>https://www.backblaze.com/cloud-storage/pricing</x:v>
      </x:c>
      <x:c r="D28" s="18" t="str">
        <x:v>Storage $6.95/TB-month; free tier and transaction limits must confirm.</x:v>
      </x:c>
      <x:c r="E28" s="18" t="str">
        <x:v>2026-10-10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68" customHeight="1">
      <x:c r="A29" s="1" t="str">
        <x:v>UPTIME</x:v>
      </x:c>
      <x:c r="B29" s="18" t="str">
        <x:v>UptimeRobot</x:v>
      </x:c>
      <x:c r="C29" s="41" t="str">
        <x:v>https://uptimerobot.com/pricing</x:v>
      </x:c>
      <x:c r="D29" s="18" t="str">
        <x:v>Solo $12/month annual billing.</x:v>
      </x:c>
      <x:c r="E29" s="18" t="str">
        <x:v>2026-10-10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68" customHeight="1">
      <x:c r="A30" s="1" t="str">
        <x:v>MDM</x:v>
      </x:c>
      <x:c r="B30" s="18" t="str">
        <x:v>Scalefusion</x:v>
      </x:c>
      <x:c r="C30" s="41" t="str">
        <x:v>https://scalefusion.com/pricing</x:v>
      </x:c>
      <x:c r="D30" s="18" t="str">
        <x:v>Essential $3.50/device/month annual; minimum ten devices.</x:v>
      </x:c>
      <x:c r="E30" s="18" t="str">
        <x:v>2026-10-10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68" customHeight="1">
      <x:c r="A31" s="1" t="str">
        <x:v>TAB</x:v>
      </x:c>
      <x:c r="B31" s="18" t="str">
        <x:v>Samsung business MSRP April 2026</x:v>
      </x:c>
      <x:c r="C31" s="41" t="str">
        <x:v>https://image-us.samsung.com/SamsungUS/business/solutions/industries/government/msrp-price-sheets/04292026/Samsung_Galaxy_Tablet_MSRP_Price_File_%28April_2026%29.pdf</x:v>
      </x:c>
      <x:c r="D31" s="18" t="str">
        <x:v>Galaxy Tab A9 SM-X110NZAAXAR $191.99. US stock, software support life and bulk pricing need verification.</x:v>
      </x:c>
      <x:c r="E31" s="18" t="str">
        <x:v>2026-10-10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68" customHeight="1">
      <x:c r="A32" s="1" t="str">
        <x:v>PENCIL</x:v>
      </x:c>
      <x:c r="B32" s="18" t="str">
        <x:v>Discount School Supply pencils</x:v>
      </x:c>
      <x:c r="C32" s="41" t="str">
        <x:v>https://www.discountschoolsupply.com/theme/pencils</x:v>
      </x:c>
      <x:c r="D32" s="18" t="str">
        <x:v>144-pack $39.99. Quantity is packs, not individual pencils.</x:v>
      </x:c>
      <x:c r="E32" s="18" t="str">
        <x:v>2026-10-10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68" customHeight="1">
      <x:c r="A33" s="1" t="str">
        <x:v>GLUE</x:v>
      </x:c>
      <x:c r="B33" s="18" t="str">
        <x:v>Discount School Supply glue</x:v>
      </x:c>
      <x:c r="C33" s="41" t="str">
        <x:v>https://www.discountschoolsupply.com/all-categories/arts-crafts/glue/glue-adhesives/c/glue___adhesives</x:v>
      </x:c>
      <x:c r="D33" s="18" t="str">
        <x:v>12×4oz $19.99; 30 glue sticks $17.99; 20-pack tape $29.99.</x:v>
      </x:c>
      <x:c r="E33" s="18" t="str">
        <x:v>2026-10-10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68" customHeight="1">
      <x:c r="A34" s="1" t="str">
        <x:v>ART</x:v>
      </x:c>
      <x:c r="B34" s="18" t="str">
        <x:v>Discount School Supply basics</x:v>
      </x:c>
      <x:c r="C34" s="41" t="str">
        <x:v>https://www.discountschoolsupply.com/shop/school/preschool-back-to-school-basics-products</x:v>
      </x:c>
      <x:c r="D34" s="18" t="str">
        <x:v>200 markers $129.99; 400 crayons $89.99.</x:v>
      </x:c>
      <x:c r="E34" s="18" t="str">
        <x:v>2026-10-10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68" customHeight="1">
      <x:c r="A35" s="1" t="str">
        <x:v>HP</x:v>
      </x:c>
      <x:c r="B35" s="18" t="str">
        <x:v>HP Instant Ink</x:v>
      </x:c>
      <x:c r="C35" s="41" t="str">
        <x:v>https://store-prodlive-us.hpcloud.hp.com/us-en/shop/cv/instantink</x:v>
      </x:c>
      <x:c r="D35" s="18" t="str">
        <x:v>300-page monthly plan $15.99; printer hardware separate.</x:v>
      </x:c>
      <x:c r="E35" s="18" t="str">
        <x:v>2026-10-10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68" customHeight="1">
      <x:c r="A36" s="1" t="str">
        <x:v>PPC</x:v>
      </x:c>
      <x:c r="B36" s="18" t="str">
        <x:v>WebFX PPC</x:v>
      </x:c>
      <x:c r="C36" s="41" t="str">
        <x:v>https://www.webfx.com/ppc/services/</x:v>
      </x:c>
      <x:c r="D36" s="18" t="str">
        <x:v>Lite first month $1,200; subsequent $750; $100–5,000/month ad budget. Paid platforms/media separate.</x:v>
      </x:c>
      <x:c r="E36" s="18" t="str">
        <x:v>2026-10-10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68" customHeight="1">
      <x:c r="A37" s="1" t="str">
        <x:v>MAIL</x:v>
      </x:c>
      <x:c r="B37" s="18" t="str">
        <x:v>Mailchimp marketing</x:v>
      </x:c>
      <x:c r="C37" s="41" t="str">
        <x:v>https://mailchimp.com/pricing/marketing/?stream=top</x:v>
      </x:c>
      <x:c r="D37" s="18" t="str">
        <x:v>Standard starts $20/month, 500 contacts, 6,000 sends. Growing list increases charge.</x:v>
      </x:c>
      <x:c r="E37" s="18" t="str">
        <x:v>2026-10-10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68" customHeight="1">
      <x:c r="A38" s="1" t="str">
        <x:v>ADOBE</x:v>
      </x:c>
      <x:c r="B38" s="18" t="str">
        <x:v>Adobe Creative Cloud</x:v>
      </x:c>
      <x:c r="C38" s="41" t="str">
        <x:v>https://www.adobe.com/creativecloud/pricing.html</x:v>
      </x:c>
      <x:c r="D38" s="18" t="str">
        <x:v>Creative Cloud Pro $69.99/month annual commitment paid monthly.</x:v>
      </x:c>
      <x:c r="E38" s="18" t="str">
        <x:v>2026-10-10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68" customHeight="1">
      <x:c r="A39" s="1" t="str">
        <x:v>STOCK</x:v>
      </x:c>
      <x:c r="B39" s="18" t="str">
        <x:v>Adobe Stock</x:v>
      </x:c>
      <x:c r="C39" s="41" t="str">
        <x:v>https://stock.adobe.com/Plans</x:v>
      </x:c>
      <x:c r="D39" s="18" t="str">
        <x:v>10 assets plan $29.99/month annual.</x:v>
      </x:c>
      <x:c r="E39" s="18" t="str">
        <x:v>2026-10-10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68" customHeight="1">
      <x:c r="A40" s="1" t="str">
        <x:v>MUSIC</x:v>
      </x:c>
      <x:c r="B40" s="18" t="str">
        <x:v>Epidemic business</x:v>
      </x:c>
      <x:c r="C40" s="41" t="str">
        <x:v>https://www.epidemicsound.com/pricing/</x:v>
      </x:c>
      <x:c r="D40" s="18" t="str">
        <x:v>Business $30/month billed annually $360. Confirm series/distribution coverage; not unlimited IP ownership.</x:v>
      </x:c>
      <x:c r="E40" s="18" t="str">
        <x:v>2026-10-10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68" customHeight="1">
      <x:c r="A41" s="1" t="str">
        <x:v>DESCRIPT</x:v>
      </x:c>
      <x:c r="B41" s="18" t="str">
        <x:v>Descript</x:v>
      </x:c>
      <x:c r="C41" s="41" t="str">
        <x:v>https://www.descript.com/pricing</x:v>
      </x:c>
      <x:c r="D41" s="18" t="str">
        <x:v>Creator $24/month annual, $35 month-to-month.</x:v>
      </x:c>
      <x:c r="E41" s="18" t="str">
        <x:v>2026-10-10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68" customHeight="1">
      <x:c r="A42" s="1" t="str">
        <x:v>ZOOM</x:v>
      </x:c>
      <x:c r="B42" s="18" t="str">
        <x:v>Zoom</x:v>
      </x:c>
      <x:c r="C42" s="41" t="str">
        <x:v>https://www.zoom.com/en/products/collaboration-tools/</x:v>
      </x:c>
      <x:c r="D42" s="18" t="str">
        <x:v>Pro $14.16/month annual, $16.99 monthly.</x:v>
      </x:c>
      <x:c r="E42" s="18" t="str">
        <x:v>2026-10-10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68" customHeight="1">
      <x:c r="A43" s="1" t="str">
        <x:v>CPSC</x:v>
      </x:c>
      <x:c r="B43" s="18" t="str">
        <x:v>CPSC testing and certification</x:v>
      </x:c>
      <x:c r="C43" s="41" t="str">
        <x:v>https://www.cpsc.gov/Business--Manufacturing/Testing-Certification</x:v>
      </x:c>
      <x:c r="D43" s="18" t="str">
        <x:v>Scope guidance only, no published test fee. Lab fees remain allowances.</x:v>
      </x:c>
      <x:c r="E43" s="18" t="str">
        <x:v>2026-10-10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68" customHeight="1">
      <x:c r="A44" s="1" t="str">
        <x:v>COPPA</x:v>
      </x:c>
      <x:c r="B44" s="18" t="str">
        <x:v>FTC COPPA guidance</x:v>
      </x:c>
      <x:c r="C44" s="41" t="str">
        <x:v>https://www.ftc.gov/business-guidance/resources/complying-coppa-frequently-asked-questions</x:v>
      </x:c>
      <x:c r="D44" s="18" t="str">
        <x:v>Legal scope guidance only; no automatic compliance certification.</x:v>
      </x:c>
      <x:c r="E44" s="18" t="str">
        <x:v>2026-10-10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68" customHeight="1">
      <x:c r="A45" s="1" t="str">
        <x:v>INS</x:v>
      </x:c>
      <x:c r="B45" s="18" t="str">
        <x:v>MO childcare insurers</x:v>
      </x:c>
      <x:c r="C45" s="41" t="str">
        <x:v>https://insurance.mo.gov/consumers/carriers-offering-childcare-liability-coverage</x:v>
      </x:c>
      <x:c r="D45" s="18" t="str">
        <x:v>Provider directory, no published premiums; insurer quote needed.</x:v>
      </x:c>
      <x:c r="E45" s="18" t="str">
        <x:v>2026-10-10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68" customHeight="1">
      <x:c r="A46" s="1" t="str">
        <x:v>FCSR</x:v>
      </x:c>
      <x:c r="B46" s="18" t="str">
        <x:v>Missouri Family Care Safety Registry</x:v>
      </x:c>
      <x:c r="C46" s="41" t="str">
        <x:v>https://health.mo.gov/providers/family-care-safety-registry/how-register-family-care-safety-registry</x:v>
      </x:c>
      <x:c r="D46" s="18" t="str">
        <x:v>Registration $16 plus $0.57 online processing. This is not the full comprehensive background check.</x:v>
      </x:c>
      <x:c r="E46" s="18" t="str">
        <x:v>2026-10-10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68" customHeight="1">
      <x:c r="A47" s="1" t="str">
        <x:v>DOBAK</x:v>
      </x:c>
      <x:c r="B47" s="18" t="str">
        <x:v>DigitalOcean backup pricing</x:v>
      </x:c>
      <x:c r="C47" s="41" t="str">
        <x:v>https://docs.digitalocean.com/products/backups/details/pricing/</x:v>
      </x:c>
      <x:c r="D47" s="18" t="str">
        <x:v>Daily backups 30% of Droplet cost; selected spend drives charge. Database and object backups separate.</x:v>
      </x:c>
      <x:c r="E47" s="18" t="str">
        <x:v>2026-10-10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68" customHeight="1">
      <x:c r="A48" s="1" t="str">
        <x:v>CITYCHILD</x:v>
      </x:c>
      <x:c r="B48" s="18" t="str">
        <x:v>Independence childcare permits</x:v>
      </x:c>
      <x:c r="C48" s="41" t="str">
        <x:v>https://www.independencemo.gov/government/city-departments/health/health-inspection-division/childcare-providers-permitting</x:v>
      </x:c>
      <x:c r="D48" s="18" t="str">
        <x:v>Initial $250; annual renewal $250 above ten children. Year-one modeled one permit, not initial plus renewal.</x:v>
      </x:c>
      <x:c r="E48" s="18" t="str">
        <x:v>2026-10-10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68" customHeight="1">
      <x:c r="A49" s="1" t="str">
        <x:v>CITYFOOD</x:v>
      </x:c>
      <x:c r="B49" s="18" t="str">
        <x:v>Independence food permits</x:v>
      </x:c>
      <x:c r="C49" s="41" t="str">
        <x:v>https://www.independencemo.gov/government/city-departments/health/health-inspection-division/restaurantsretail-food</x:v>
      </x:c>
      <x:c r="D49" s="18" t="str">
        <x:v>High/medium/low annual permits $600/$400/$300; applicability must be determined. Food plan review $300.</x:v>
      </x:c>
      <x:c r="E49" s="18" t="str">
        <x:v>2026-10-10</x:v>
      </x:c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68" customHeight="1">
      <x:c r="A50" s="1" t="str">
        <x:v>CITYHAND</x:v>
      </x:c>
      <x:c r="B50" s="18" t="str">
        <x:v>Independence food worker permits</x:v>
      </x:c>
      <x:c r="C50" s="41" t="str">
        <x:v>https://www.independencemo.gov/government/city-departments/health/health-inspection-division/food-handler-manager-permits</x:v>
      </x:c>
      <x:c r="D50" s="18" t="str">
        <x:v>Handler $25; manager $30. Three-year validity; selected staff count assumed.</x:v>
      </x:c>
      <x:c r="E50" s="18" t="str">
        <x:v>2026-10-10</x:v>
      </x:c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68" customHeight="1">
      <x:c r="A51" s="1" t="str">
        <x:v>CITYBIZ</x:v>
      </x:c>
      <x:c r="B51" s="18" t="str">
        <x:v>Independence business license</x:v>
      </x:c>
      <x:c r="C51" s="41" t="str">
        <x:v>https://www.independencemo.gov/government/city-departments/community-development/business-license-liquor-license-and-employee-permitting</x:v>
      </x:c>
      <x:c r="D51" s="18" t="str">
        <x:v>Minimum $75 plus $0.31 per $1,000 or part above $25,000 receipts. Modeled $500,000 gross receipts is a fee input only, not a revenue forecast.</x:v>
      </x:c>
      <x:c r="E51" s="18" t="str">
        <x:v>2026-10-10</x:v>
      </x:c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68" customHeight="1">
      <x:c r="A52" s="1" t="str">
        <x:v>CITYBUILD</x:v>
      </x:c>
      <x:c r="B52" s="18" t="str">
        <x:v>Independence dated construction fee schedule</x:v>
      </x:c>
      <x:c r="C52" s="41" t="str">
        <x:v>https://www.independencemo.gov/sites/default/files/2023-08/Construction%20Permit%20Fee%20Schedule%202022.pdf</x:v>
      </x:c>
      <x:c r="D52" s="18" t="str">
        <x:v>Dated 2022 schedule: occupancy $20; plan review $450 at 2,000 SF or more. Current fees/applicability require city confirmation.</x:v>
      </x:c>
      <x:c r="E52" s="18" t="str">
        <x:v>2026-10-10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73718bab003400f"/>
  </x:tableParts>
</x:worksheet>
</file>

<file path=xl/worksheets/sheet5.xml><?xml version="1.0" encoding="utf-8"?>
<x:worksheet xmlns:x="http://schemas.openxmlformats.org/spreadsheetml/2006/main">
  <x:sheetPr>
    <x:tabColor rgb="FFDFF4E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30" hidden="0" customWidth="1"/>
    <x:col min="4" max="4" width="66" hidden="0" customWidth="1"/>
    <x:col min="5" max="5" width="58" hidden="0" customWidth="1"/>
  </x:cols>
  <x:sheetData>
    <x:row r="1" ht="34" customHeight="1">
      <x:c r="A1" s="4" t="str">
        <x:v>Coverage | blind spots and boundaries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7" t="str">
        <x:v>This is the audit trail for what is priced, what is allowance-based, and what still needs a quote, counsel, or owner decision.</x:v>
      </x:c>
      <x:c r="B2" s="7"/>
      <x:c r="C2" s="7"/>
      <x:c r="D2" s="7"/>
      <x:c r="E2" s="7"/>
      <x:c r="F2" s="7"/>
      <x:c r="G2" s="7"/>
      <x:c r="H2" s="7"/>
      <x:c r="I2" s="7"/>
      <x:c r="J2" s="7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13" t="str">
        <x:v>ID</x:v>
      </x:c>
      <x:c r="B4" s="13" t="str">
        <x:v>Area / item</x:v>
      </x:c>
      <x:c r="C4" s="13" t="str">
        <x:v>Disposition</x:v>
      </x:c>
      <x:c r="D4" s="13" t="str">
        <x:v>Evidence / link</x:v>
      </x:c>
      <x:c r="E4" s="13" t="str">
        <x:v>Why it matters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8" customHeight="1">
      <x:c r="A5" s="1" t="str">
        <x:v>CNT-001</x:v>
      </x:c>
      <x:c r="B5" s="18" t="str">
        <x:v>content strategy and learning outcomes map</x:v>
      </x:c>
      <x:c r="C5" s="18" t="str">
        <x:v>Selected</x:v>
      </x:c>
      <x:c r="D5" s="18" t="str">
        <x:v>CNT-001</x:v>
      </x:c>
      <x:c r="E5" s="18" t="str">
        <x:v>Learning strategy; 40 assumed hours.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8" customHeight="1">
      <x:c r="A6" s="1" t="str">
        <x:v>CNT-002</x:v>
      </x:c>
      <x:c r="B6" s="18" t="str">
        <x:v>season story arc and episode loglines</x:v>
      </x:c>
      <x:c r="C6" s="18" t="str">
        <x:v>Selected</x:v>
      </x:c>
      <x:c r="D6" s="18" t="str">
        <x:v>CNT-002</x:v>
      </x:c>
      <x:c r="E6" s="18" t="str">
        <x:v>Season arc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8" customHeight="1">
      <x:c r="A7" s="1" t="str">
        <x:v>CNT-003</x:v>
      </x:c>
      <x:c r="B7" s="18" t="str">
        <x:v>episode learning objective map</x:v>
      </x:c>
      <x:c r="C7" s="18" t="str">
        <x:v>Selected</x:v>
      </x:c>
      <x:c r="D7" s="18" t="str">
        <x:v>CNT-003</x:v>
      </x:c>
      <x:c r="E7" s="18" t="str">
        <x:v>12 episode maps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8" customHeight="1">
      <x:c r="A8" s="1" t="str">
        <x:v>CNT-004</x:v>
      </x:c>
      <x:c r="B8" s="18" t="str">
        <x:v>content risk and age appropriateness review</x:v>
      </x:c>
      <x:c r="C8" s="18" t="str">
        <x:v>Selected</x:v>
      </x:c>
      <x:c r="D8" s="18" t="str">
        <x:v>CNT-004</x:v>
      </x:c>
      <x:c r="E8" s="18" t="str">
        <x:v>Age/child-development specialist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8" customHeight="1">
      <x:c r="A9" s="1" t="str">
        <x:v>CNT-005</x:v>
      </x:c>
      <x:c r="B9" s="18" t="str">
        <x:v>episode treatment</x:v>
      </x:c>
      <x:c r="C9" s="18" t="str">
        <x:v>Selected</x:v>
      </x:c>
      <x:c r="D9" s="18" t="str">
        <x:v>CNT-005</x:v>
      </x:c>
      <x:c r="E9" s="18" t="str">
        <x:v>4h per treatment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8" customHeight="1">
      <x:c r="A10" s="1" t="str">
        <x:v>CNT-006</x:v>
      </x:c>
      <x:c r="B10" s="18" t="str">
        <x:v>episode script draft</x:v>
      </x:c>
      <x:c r="C10" s="18" t="str">
        <x:v>Selected</x:v>
      </x:c>
      <x:c r="D10" s="18" t="str">
        <x:v>CNT-006</x:v>
      </x:c>
      <x:c r="E10" s="18" t="str">
        <x:v>12h per seven-minute script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8" customHeight="1">
      <x:c r="A11" s="1" t="str">
        <x:v>CNT-007</x:v>
      </x:c>
      <x:c r="B11" s="18" t="str">
        <x:v>script revision rounds</x:v>
      </x:c>
      <x:c r="C11" s="18" t="str">
        <x:v>Selected</x:v>
      </x:c>
      <x:c r="D11" s="18" t="str">
        <x:v>CNT-007</x:v>
      </x:c>
      <x:c r="E11" s="18" t="str">
        <x:v>6h revisions per episode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8" customHeight="1">
      <x:c r="A12" s="1" t="str">
        <x:v>CNT-008</x:v>
      </x:c>
      <x:c r="B12" s="18" t="str">
        <x:v>QR habit micro-script</x:v>
      </x:c>
      <x:c r="C12" s="18" t="str">
        <x:v>Selected</x:v>
      </x:c>
      <x:c r="D12" s="18" t="str">
        <x:v>CNT-008</x:v>
      </x:c>
      <x:c r="E12" s="18" t="str">
        <x:v>40 habit/message scripts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8" customHeight="1">
      <x:c r="A13" s="1" t="str">
        <x:v>CNT-009</x:v>
      </x:c>
      <x:c r="B13" s="18" t="str">
        <x:v>promo and trailer scripts</x:v>
      </x:c>
      <x:c r="C13" s="18" t="str">
        <x:v>Selected</x:v>
      </x:c>
      <x:c r="D13" s="18" t="str">
        <x:v>CNT-009</x:v>
      </x:c>
      <x:c r="E13" s="18" t="str">
        <x:v>Promos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8" customHeight="1">
      <x:c r="A14" s="1" t="str">
        <x:v>CNT-010</x:v>
      </x:c>
      <x:c r="B14" s="18" t="str">
        <x:v>parent take-home copy</x:v>
      </x:c>
      <x:c r="C14" s="18" t="str">
        <x:v>Selected</x:v>
      </x:c>
      <x:c r="D14" s="18" t="str">
        <x:v>CNT-010</x:v>
      </x:c>
      <x:c r="E14" s="18" t="str">
        <x:v>Parent companion copy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8" customHeight="1">
      <x:c r="A15" s="1" t="str">
        <x:v>CNT-011</x:v>
      </x:c>
      <x:c r="B15" s="18" t="str">
        <x:v>thumbnail storyboard</x:v>
      </x:c>
      <x:c r="C15" s="18" t="str">
        <x:v>Selected</x:v>
      </x:c>
      <x:c r="D15" s="18" t="str">
        <x:v>CNT-011</x:v>
      </x:c>
      <x:c r="E15" s="18" t="str">
        <x:v>20h boards per episode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8" customHeight="1">
      <x:c r="A16" s="1" t="str">
        <x:v>CNT-012</x:v>
      </x:c>
      <x:c r="B16" s="18" t="str">
        <x:v>storyboard revision rounds</x:v>
      </x:c>
      <x:c r="C16" s="18" t="str">
        <x:v>Selected</x:v>
      </x:c>
      <x:c r="D16" s="18" t="str">
        <x:v>CNT-012</x:v>
      </x:c>
      <x:c r="E16" s="18" t="str">
        <x:v>5h per episode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8" customHeight="1">
      <x:c r="A17" s="1" t="str">
        <x:v>CNT-013</x:v>
      </x:c>
      <x:c r="B17" s="18" t="str">
        <x:v>animatic assembly</x:v>
      </x:c>
      <x:c r="C17" s="18" t="str">
        <x:v>Selected</x:v>
      </x:c>
      <x:c r="D17" s="18" t="str">
        <x:v>CNT-013</x:v>
      </x:c>
      <x:c r="E17" s="18" t="str">
        <x:v>8h animatic per episode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48" customHeight="1">
      <x:c r="A18" s="1" t="str">
        <x:v>CNT-014</x:v>
      </x:c>
      <x:c r="B18" s="18" t="str">
        <x:v>character model-sheet audit</x:v>
      </x:c>
      <x:c r="C18" s="18" t="str">
        <x:v>Selected</x:v>
      </x:c>
      <x:c r="D18" s="18" t="str">
        <x:v>CNT-014</x:v>
      </x:c>
      <x:c r="E18" s="18" t="str">
        <x:v>Existing asset continuity review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48" customHeight="1">
      <x:c r="A19" s="1" t="str">
        <x:v>CNT-015</x:v>
      </x:c>
      <x:c r="B19" s="18" t="str">
        <x:v>primary character turnaround</x:v>
      </x:c>
      <x:c r="C19" s="18" t="str">
        <x:v>Selected</x:v>
      </x:c>
      <x:c r="D19" s="18" t="str">
        <x:v>CNT-015</x:v>
      </x:c>
      <x:c r="E19" s="18" t="str">
        <x:v>Vendor design package proxy; turnaround deliverables quote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48" customHeight="1">
      <x:c r="A20" s="1" t="str">
        <x:v>CNT-016</x:v>
      </x:c>
      <x:c r="B20" s="18" t="str">
        <x:v>sub-character design</x:v>
      </x:c>
      <x:c r="C20" s="18" t="str">
        <x:v>Selected</x:v>
      </x:c>
      <x:c r="D20" s="18" t="str">
        <x:v>CNT-016</x:v>
      </x:c>
      <x:c r="E20" s="18" t="str">
        <x:v>17 proposed supporting characters, not claimed approved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48" customHeight="1">
      <x:c r="A21" s="1" t="str">
        <x:v>CNT-017</x:v>
      </x:c>
      <x:c r="B21" s="18" t="str">
        <x:v>expression and mouth chart</x:v>
      </x:c>
      <x:c r="C21" s="18" t="str">
        <x:v>Selected</x:v>
      </x:c>
      <x:c r="D21" s="18" t="str">
        <x:v>CNT-017</x:v>
      </x:c>
      <x:c r="E21" s="18" t="str">
        <x:v>2h expression charts per character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48" customHeight="1">
      <x:c r="A22" s="1" t="str">
        <x:v>CNT-018</x:v>
      </x:c>
      <x:c r="B22" s="18" t="str">
        <x:v>outfit and costume variants</x:v>
      </x:c>
      <x:c r="C22" s="18" t="str">
        <x:v>Selected</x:v>
      </x:c>
      <x:c r="D22" s="18" t="str">
        <x:v>CNT-018</x:v>
      </x:c>
      <x:c r="E22" s="18" t="str">
        <x:v>Four variants per primary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48" customHeight="1">
      <x:c r="A23" s="1" t="str">
        <x:v>CNT-019</x:v>
      </x:c>
      <x:c r="B23" s="18" t="str">
        <x:v>prop design</x:v>
      </x:c>
      <x:c r="C23" s="18" t="str">
        <x:v>Selected</x:v>
      </x:c>
      <x:c r="D23" s="18" t="str">
        <x:v>CNT-019</x:v>
      </x:c>
      <x:c r="E23" s="18" t="str">
        <x:v>Reusable prop library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48" customHeight="1">
      <x:c r="A24" s="1" t="str">
        <x:v>CNT-020</x:v>
      </x:c>
      <x:c r="B24" s="18" t="str">
        <x:v>environment and location design</x:v>
      </x:c>
      <x:c r="C24" s="18" t="str">
        <x:v>Selected</x:v>
      </x:c>
      <x:c r="D24" s="18" t="str">
        <x:v>CNT-020</x:v>
      </x:c>
      <x:c r="E24" s="18" t="str">
        <x:v>8 locations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48" customHeight="1">
      <x:c r="A25" s="1" t="str">
        <x:v>CNT-021</x:v>
      </x:c>
      <x:c r="B25" s="18" t="str">
        <x:v>style bible and color specification</x:v>
      </x:c>
      <x:c r="C25" s="18" t="str">
        <x:v>Selected</x:v>
      </x:c>
      <x:c r="D25" s="18" t="str">
        <x:v>CNT-021</x:v>
      </x:c>
      <x:c r="E25" s="18" t="str">
        <x:v>Style bible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48" customHeight="1">
      <x:c r="A26" s="1" t="str">
        <x:v>CNT-022</x:v>
      </x:c>
      <x:c r="B26" s="18" t="str">
        <x:v>2D character rig</x:v>
      </x:c>
      <x:c r="C26" s="18" t="str">
        <x:v>Selected</x:v>
      </x:c>
      <x:c r="D26" s="18" t="str">
        <x:v>CNT-022</x:v>
      </x:c>
      <x:c r="E26" s="18" t="str">
        <x:v>Animation Bakery CAD400 rig is a different currency; USD400 custom-rig allowance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48" customHeight="1">
      <x:c r="A27" s="1" t="str">
        <x:v>CNT-023</x:v>
      </x:c>
      <x:c r="B27" s="18" t="str">
        <x:v>mouth and lip-sync rig setup</x:v>
      </x:c>
      <x:c r="C27" s="18" t="str">
        <x:v>Selected</x:v>
      </x:c>
      <x:c r="D27" s="18" t="str">
        <x:v>CNT-023</x:v>
      </x:c>
      <x:c r="E27" s="18" t="str">
        <x:v>4 primary viseme rigs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48" customHeight="1">
      <x:c r="A28" s="1" t="str">
        <x:v>CNT-024</x:v>
      </x:c>
      <x:c r="B28" s="18" t="str">
        <x:v>reusable motion cycles</x:v>
      </x:c>
      <x:c r="C28" s="18" t="str">
        <x:v>Selected</x:v>
      </x:c>
      <x:c r="D28" s="18" t="str">
        <x:v>CNT-024</x:v>
      </x:c>
      <x:c r="E28" s="18" t="str">
        <x:v>Reusable motion cycles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48" customHeight="1">
      <x:c r="A29" s="1" t="str">
        <x:v>CNT-026</x:v>
      </x:c>
      <x:c r="B29" s="18" t="str">
        <x:v>character animation</x:v>
      </x:c>
      <x:c r="C29" s="18" t="str">
        <x:v>Selected</x:v>
      </x:c>
      <x:c r="D29" s="18" t="str">
        <x:v>CNT-026</x:v>
      </x:c>
      <x:c r="E29" s="18" t="str">
        <x:v>CAD2,000 × .73 USD/CAD. Assumes layout/backgrounds/composite and one revision included; quote must confirm. Animation-only, not full finished episode.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48" customHeight="1">
      <x:c r="A30" s="1" t="str">
        <x:v>CNT-031</x:v>
      </x:c>
      <x:c r="B30" s="18" t="str">
        <x:v>English casting</x:v>
      </x:c>
      <x:c r="C30" s="18" t="str">
        <x:v>Selected</x:v>
      </x:c>
      <x:c r="D30" s="18" t="str">
        <x:v>CNT-031</x:v>
      </x:c>
      <x:c r="E30" s="18" t="str">
        <x:v>Casting coordination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48" customHeight="1">
      <x:c r="A31" s="1" t="str">
        <x:v>CNT-032</x:v>
      </x:c>
      <x:c r="B31" s="18" t="str">
        <x:v>English recording</x:v>
      </x:c>
      <x:c r="C31" s="18" t="str">
        <x:v>Selected</x:v>
      </x:c>
      <x:c r="D31" s="18" t="str">
        <x:v>CNT-032</x:v>
      </x:c>
      <x:c r="E31" s="18" t="str">
        <x:v>English recording sessions including studio allowance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48" customHeight="1">
      <x:c r="A32" s="1" t="str">
        <x:v>CNT-033</x:v>
      </x:c>
      <x:c r="B32" s="18" t="str">
        <x:v>voice direction</x:v>
      </x:c>
      <x:c r="C32" s="18" t="str">
        <x:v>Selected</x:v>
      </x:c>
      <x:c r="D32" s="18" t="str">
        <x:v>CNT-033</x:v>
      </x:c>
      <x:c r="E32" s="18" t="str">
        <x:v>Voice direction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48" customHeight="1">
      <x:c r="A33" s="1" t="str">
        <x:v>CNT-034</x:v>
      </x:c>
      <x:c r="B33" s="18" t="str">
        <x:v>pickup and retake sessions</x:v>
      </x:c>
      <x:c r="C33" s="18" t="str">
        <x:v>Selected</x:v>
      </x:c>
      <x:c r="D33" s="18" t="str">
        <x:v>CNT-034</x:v>
      </x:c>
      <x:c r="E33" s="18" t="str">
        <x:v>Pickups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48" customHeight="1">
      <x:c r="A34" s="1" t="str">
        <x:v>CNT-035</x:v>
      </x:c>
      <x:c r="B34" s="18" t="str">
        <x:v>Spanish script adaptation</x:v>
      </x:c>
      <x:c r="C34" s="18" t="str">
        <x:v>Selected</x:v>
      </x:c>
      <x:c r="D34" s="18" t="str">
        <x:v>CNT-035</x:v>
      </x:c>
      <x:c r="E34" s="18" t="str">
        <x:v>Spanish adaptation, not machine translation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48" customHeight="1">
      <x:c r="A35" s="1" t="str">
        <x:v>CNT-036</x:v>
      </x:c>
      <x:c r="B35" s="18" t="str">
        <x:v>Spanish voice casting and recording</x:v>
      </x:c>
      <x:c r="C35" s="18" t="str">
        <x:v>Selected</x:v>
      </x:c>
      <x:c r="D35" s="18" t="str">
        <x:v>CNT-036</x:v>
      </x:c>
      <x:c r="E35" s="18" t="str">
        <x:v>Spanish recording package; voice rights separate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48" customHeight="1">
      <x:c r="A36" s="1" t="str">
        <x:v>CNT-037</x:v>
      </x:c>
      <x:c r="B36" s="18" t="str">
        <x:v>Spanish lip-sync and edit</x:v>
      </x:c>
      <x:c r="C36" s="18" t="str">
        <x:v>Selected</x:v>
      </x:c>
      <x:c r="D36" s="18" t="str">
        <x:v>CNT-037</x:v>
      </x:c>
      <x:c r="E36" s="18" t="str">
        <x:v>Spanish lip-sync/edit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48" customHeight="1">
      <x:c r="A37" s="1" t="str">
        <x:v>CNT-038</x:v>
      </x:c>
      <x:c r="B37" s="18" t="str">
        <x:v>English captions</x:v>
      </x:c>
      <x:c r="C37" s="18" t="str">
        <x:v>Selected</x:v>
      </x:c>
      <x:c r="D37" s="18" t="str">
        <x:v>CNT-038</x:v>
      </x:c>
      <x:c r="E37" s="18" t="str">
        <x:v>EN captions human checked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48" customHeight="1">
      <x:c r="A38" s="1" t="str">
        <x:v>CNT-039</x:v>
      </x:c>
      <x:c r="B38" s="18" t="str">
        <x:v>Spanish captions</x:v>
      </x:c>
      <x:c r="C38" s="18" t="str">
        <x:v>Selected</x:v>
      </x:c>
      <x:c r="D38" s="18" t="str">
        <x:v>CNT-039</x:v>
      </x:c>
      <x:c r="E38" s="18" t="str">
        <x:v>ES captions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48" customHeight="1">
      <x:c r="A39" s="1" t="str">
        <x:v>CNT-040</x:v>
      </x:c>
      <x:c r="B39" s="18" t="str">
        <x:v>audio description assessment</x:v>
      </x:c>
      <x:c r="C39" s="18" t="str">
        <x:v>Selected</x:v>
      </x:c>
      <x:c r="D39" s="18" t="str">
        <x:v>CNT-040</x:v>
      </x:c>
      <x:c r="E39" s="18" t="str">
        <x:v>Description/accessibility assessment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48" customHeight="1">
      <x:c r="A40" s="1" t="str">
        <x:v>CNT-041</x:v>
      </x:c>
      <x:c r="B40" s="18" t="str">
        <x:v>dialogue edit and cleanup</x:v>
      </x:c>
      <x:c r="C40" s="18" t="str">
        <x:v>Selected</x:v>
      </x:c>
      <x:c r="D40" s="18" t="str">
        <x:v>CNT-041</x:v>
      </x:c>
      <x:c r="E40" s="18" t="str">
        <x:v>Dialogue cleanup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48" customHeight="1">
      <x:c r="A41" s="1" t="str">
        <x:v>CNT-042</x:v>
      </x:c>
      <x:c r="B41" s="18" t="str">
        <x:v>original music composition</x:v>
      </x:c>
      <x:c r="C41" s="18" t="str">
        <x:v>Selected</x:v>
      </x:c>
      <x:c r="D41" s="18" t="str">
        <x:v>CNT-042</x:v>
      </x:c>
      <x:c r="E41" s="18" t="str">
        <x:v>Original score, usage rights contract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48" customHeight="1">
      <x:c r="A42" s="1" t="str">
        <x:v>CNT-043</x:v>
      </x:c>
      <x:c r="B42" s="18" t="str">
        <x:v>sound effects and Foley</x:v>
      </x:c>
      <x:c r="C42" s="18" t="str">
        <x:v>Selected</x:v>
      </x:c>
      <x:c r="D42" s="18" t="str">
        <x:v>CNT-043</x:v>
      </x:c>
      <x:c r="E42" s="18" t="str">
        <x:v>Foley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48" customHeight="1">
      <x:c r="A43" s="1" t="str">
        <x:v>CNT-044</x:v>
      </x:c>
      <x:c r="B43" s="18" t="str">
        <x:v>final mix and stems</x:v>
      </x:c>
      <x:c r="C43" s="18" t="str">
        <x:v>Selected</x:v>
      </x:c>
      <x:c r="D43" s="18" t="str">
        <x:v>CNT-044</x:v>
      </x:c>
      <x:c r="E43" s="18" t="str">
        <x:v>Final mix/stems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48" customHeight="1">
      <x:c r="A44" s="1" t="str">
        <x:v>CNT-045</x:v>
      </x:c>
      <x:c r="B44" s="18" t="str">
        <x:v>classroom activity plan</x:v>
      </x:c>
      <x:c r="C44" s="18" t="str">
        <x:v>Selected</x:v>
      </x:c>
      <x:c r="D44" s="18" t="str">
        <x:v>CNT-045</x:v>
      </x:c>
      <x:c r="E44" s="18" t="str">
        <x:v>48 activities at 2h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48" customHeight="1">
      <x:c r="A45" s="1" t="str">
        <x:v>CNT-046</x:v>
      </x:c>
      <x:c r="B45" s="18" t="str">
        <x:v>movement plan</x:v>
      </x:c>
      <x:c r="C45" s="18" t="str">
        <x:v>Selected</x:v>
      </x:c>
      <x:c r="D45" s="18" t="str">
        <x:v>CNT-046</x:v>
      </x:c>
      <x:c r="E45" s="18" t="str">
        <x:v>12 movement guides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48" customHeight="1">
      <x:c r="A46" s="1" t="str">
        <x:v>CNT-047</x:v>
      </x:c>
      <x:c r="B46" s="18" t="str">
        <x:v>Eat the Rainbow menu linkage</x:v>
      </x:c>
      <x:c r="C46" s="18" t="str">
        <x:v>Selected</x:v>
      </x:c>
      <x:c r="D46" s="18" t="str">
        <x:v>CNT-047</x:v>
      </x:c>
      <x:c r="E46" s="18" t="str">
        <x:v>Menu-linked learning, nurse separate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48" customHeight="1">
      <x:c r="A47" s="1" t="str">
        <x:v>CNT-048</x:v>
      </x:c>
      <x:c r="B47" s="18" t="str">
        <x:v>learning activity materials list</x:v>
      </x:c>
      <x:c r="C47" s="18" t="str">
        <x:v>Selected</x:v>
      </x:c>
      <x:c r="D47" s="18" t="str">
        <x:v>CNT-048</x:v>
      </x:c>
      <x:c r="E47" s="18" t="str">
        <x:v>Materials lists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48" customHeight="1">
      <x:c r="A48" s="1" t="str">
        <x:v>CNT-049</x:v>
      </x:c>
      <x:c r="B48" s="18" t="str">
        <x:v>assessment rubric and observation prompts</x:v>
      </x:c>
      <x:c r="C48" s="18" t="str">
        <x:v>Selected</x:v>
      </x:c>
      <x:c r="D48" s="18" t="str">
        <x:v>CNT-049</x:v>
      </x:c>
      <x:c r="E48" s="18" t="str">
        <x:v>Observation rubric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48" customHeight="1">
      <x:c r="A49" s="1" t="str">
        <x:v>CNT-050</x:v>
      </x:c>
      <x:c r="B49" s="18" t="str">
        <x:v>educator review and revisions</x:v>
      </x:c>
      <x:c r="C49" s="18" t="str">
        <x:v>Selected</x:v>
      </x:c>
      <x:c r="D49" s="18" t="str">
        <x:v>CNT-050</x:v>
      </x:c>
      <x:c r="E49" s="18" t="str">
        <x:v>Independent curriculum review</x:v>
      </x:c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48" customHeight="1">
      <x:c r="A50" s="1" t="str">
        <x:v>CNT-051</x:v>
      </x:c>
      <x:c r="B50" s="18" t="str">
        <x:v>health and nutrition review</x:v>
      </x:c>
      <x:c r="C50" s="18" t="str">
        <x:v>Selected</x:v>
      </x:c>
      <x:c r="D50" s="18" t="str">
        <x:v>CNT-051</x:v>
      </x:c>
      <x:c r="E50" s="18" t="str">
        <x:v>RN/nutrition consultant fee allowance; wage benchmark is not consulting fee</x:v>
      </x:c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48" customHeight="1">
      <x:c r="A51" s="1" t="str">
        <x:v>CNT-052</x:v>
      </x:c>
      <x:c r="B51" s="18" t="str">
        <x:v>adult-approved handwashing micro-video</x:v>
      </x:c>
      <x:c r="C51" s="18" t="str">
        <x:v>Selected</x:v>
      </x:c>
      <x:c r="D51" s="18" t="str">
        <x:v>CNT-052</x:v>
      </x:c>
      <x:c r="E51" s="18" t="str">
        <x:v>Production including script-to-finish incremental clip</x:v>
      </x:c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48" customHeight="1">
      <x:c r="A52" s="1" t="str">
        <x:v>CNT-053</x:v>
      </x:c>
      <x:c r="B52" s="18" t="str">
        <x:v>additional habit micro-videos</x:v>
      </x:c>
      <x:c r="C52" s="18" t="str">
        <x:v>Selected</x:v>
      </x:c>
      <x:c r="D52" s="18" t="str">
        <x:v>CNT-053</x:v>
      </x:c>
      <x:c r="E52" s="18" t="str">
        <x:v>Nine further QR habit clips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48" customHeight="1">
      <x:c r="A53" s="1" t="str">
        <x:v>CNT-054</x:v>
      </x:c>
      <x:c r="B53" s="18" t="str">
        <x:v>QR artwork and printed card design</x:v>
      </x:c>
      <x:c r="C53" s="18" t="str">
        <x:v>Selected</x:v>
      </x:c>
      <x:c r="D53" s="18" t="str">
        <x:v>CNT-054</x:v>
      </x:c>
      <x:c r="E53" s="18" t="str">
        <x:v>QR card design</x:v>
      </x:c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48" customHeight="1">
      <x:c r="A54" s="1" t="str">
        <x:v>CNT-056</x:v>
      </x:c>
      <x:c r="B54" s="18" t="str">
        <x:v>brand master artwork audit</x:v>
      </x:c>
      <x:c r="C54" s="18" t="str">
        <x:v>Selected</x:v>
      </x:c>
      <x:c r="D54" s="18" t="str">
        <x:v>CNT-056</x:v>
      </x:c>
      <x:c r="E54" s="18" t="str">
        <x:v>Brand audit</x:v>
      </x:c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48" customHeight="1">
      <x:c r="A55" s="1" t="str">
        <x:v>CNT-057</x:v>
      </x:c>
      <x:c r="B55" s="18" t="str">
        <x:v>logo and lockup production masters</x:v>
      </x:c>
      <x:c r="C55" s="18" t="str">
        <x:v>Selected</x:v>
      </x:c>
      <x:c r="D55" s="18" t="str">
        <x:v>CNT-057</x:v>
      </x:c>
      <x:c r="E55" s="18" t="str">
        <x:v>Logo production masters</x:v>
      </x:c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48" customHeight="1">
      <x:c r="A56" s="1" t="str">
        <x:v>CNT-058</x:v>
      </x:c>
      <x:c r="B56" s="18" t="str">
        <x:v>episode title cards and end cards</x:v>
      </x:c>
      <x:c r="C56" s="18" t="str">
        <x:v>Selected</x:v>
      </x:c>
      <x:c r="D56" s="18" t="str">
        <x:v>CNT-058</x:v>
      </x:c>
      <x:c r="E56" s="18" t="str">
        <x:v>Title/end cards</x:v>
      </x:c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48" customHeight="1">
      <x:c r="A57" s="1" t="str">
        <x:v>CNT-059</x:v>
      </x:c>
      <x:c r="B57" s="18" t="str">
        <x:v>thumbnail and key art package</x:v>
      </x:c>
      <x:c r="C57" s="18" t="str">
        <x:v>Selected</x:v>
      </x:c>
      <x:c r="D57" s="18" t="str">
        <x:v>CNT-059</x:v>
      </x:c>
      <x:c r="E57" s="18" t="str">
        <x:v>Thumbnails</x:v>
      </x:c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48" customHeight="1">
      <x:c r="A58" s="1" t="str">
        <x:v>CNT-060</x:v>
      </x:c>
      <x:c r="B58" s="18" t="str">
        <x:v>character pose and expression social library</x:v>
      </x:c>
      <x:c r="C58" s="18" t="str">
        <x:v>Selected</x:v>
      </x:c>
      <x:c r="D58" s="18" t="str">
        <x:v>CNT-060</x:v>
      </x:c>
      <x:c r="E58" s="18" t="str">
        <x:v>Social pose library</x:v>
      </x:c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48" customHeight="1">
      <x:c r="A59" s="1" t="str">
        <x:v>CNT-062</x:v>
      </x:c>
      <x:c r="B59" s="18" t="str">
        <x:v>launch trailer edit</x:v>
      </x:c>
      <x:c r="C59" s="18" t="str">
        <x:v>Selected</x:v>
      </x:c>
      <x:c r="D59" s="18" t="str">
        <x:v>CNT-062</x:v>
      </x:c>
      <x:c r="E59" s="18" t="str">
        <x:v>Trailer edit from season assets</x:v>
      </x:c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48" customHeight="1">
      <x:c r="A60" s="1" t="str">
        <x:v>CNT-063</x:v>
      </x:c>
      <x:c r="B60" s="18" t="str">
        <x:v>social cutdowns and vertical edits</x:v>
      </x:c>
      <x:c r="C60" s="18" t="str">
        <x:v>Selected</x:v>
      </x:c>
      <x:c r="D60" s="18" t="str">
        <x:v>CNT-063</x:v>
      </x:c>
      <x:c r="E60" s="18" t="str">
        <x:v>Vertical edits</x:v>
      </x:c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48" customHeight="1">
      <x:c r="A61" s="1" t="str">
        <x:v>CNT-064</x:v>
      </x:c>
      <x:c r="B61" s="18" t="str">
        <x:v>partner daycare sales kit</x:v>
      </x:c>
      <x:c r="C61" s="18" t="str">
        <x:v>Selected</x:v>
      </x:c>
      <x:c r="D61" s="18" t="str">
        <x:v>CNT-064</x:v>
      </x:c>
      <x:c r="E61" s="18" t="str">
        <x:v>Daycare kit</x:v>
      </x:c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48" customHeight="1">
      <x:c r="A62" s="1" t="str">
        <x:v>CNT-065</x:v>
      </x:c>
      <x:c r="B62" s="18" t="str">
        <x:v>church and community partner kit</x:v>
      </x:c>
      <x:c r="C62" s="18" t="str">
        <x:v>Selected</x:v>
      </x:c>
      <x:c r="D62" s="18" t="str">
        <x:v>CNT-065</x:v>
      </x:c>
      <x:c r="E62" s="18" t="str">
        <x:v>Church adaptation</x:v>
      </x:c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48" customHeight="1">
      <x:c r="A63" s="1" t="str">
        <x:v>CNT-066</x:v>
      </x:c>
      <x:c r="B63" s="18" t="str">
        <x:v>parent onboarding content</x:v>
      </x:c>
      <x:c r="C63" s="18" t="str">
        <x:v>Selected</x:v>
      </x:c>
      <x:c r="D63" s="18" t="str">
        <x:v>CNT-066</x:v>
      </x:c>
      <x:c r="E63" s="18" t="str">
        <x:v>Parent onboarding</x:v>
      </x:c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48" customHeight="1">
      <x:c r="A64" s="1" t="str">
        <x:v>CNT-069</x:v>
      </x:c>
      <x:c r="B64" s="18" t="str">
        <x:v>character and artwork chain-of-title audit</x:v>
      </x:c>
      <x:c r="C64" s="18" t="str">
        <x:v>Selected</x:v>
      </x:c>
      <x:c r="D64" s="18" t="str">
        <x:v>CNT-069</x:v>
      </x:c>
      <x:c r="E64" s="18" t="str">
        <x:v>Chain of title review</x:v>
      </x:c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48" customHeight="1">
      <x:c r="A65" s="1" t="str">
        <x:v>CNT-070</x:v>
      </x:c>
      <x:c r="B65" s="18" t="str">
        <x:v>voice talent commercial buyouts</x:v>
      </x:c>
      <x:c r="C65" s="18" t="str">
        <x:v>Selected</x:v>
      </x:c>
      <x:c r="D65" s="18" t="str">
        <x:v>CNT-070</x:v>
      </x:c>
      <x:c r="E65" s="18" t="str">
        <x:v>Contract allowance; confirm media, territories, duration</x:v>
      </x:c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48" customHeight="1">
      <x:c r="A66" s="1" t="str">
        <x:v>CNT-071</x:v>
      </x:c>
      <x:c r="B66" s="18" t="str">
        <x:v>music and sound license register</x:v>
      </x:c>
      <x:c r="C66" s="18" t="str">
        <x:v>Selected</x:v>
      </x:c>
      <x:c r="D66" s="18" t="str">
        <x:v>CNT-071</x:v>
      </x:c>
      <x:c r="E66" s="18" t="str">
        <x:v>Rights register</x:v>
      </x:c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48" customHeight="1">
      <x:c r="A67" s="1" t="str">
        <x:v>CNT-073</x:v>
      </x:c>
      <x:c r="B67" s="18" t="str">
        <x:v>video encoding and web derivatives</x:v>
      </x:c>
      <x:c r="C67" s="18" t="str">
        <x:v>Selected</x:v>
      </x:c>
      <x:c r="D67" s="18" t="str">
        <x:v>CNT-073</x:v>
      </x:c>
      <x:c r="E67" s="18" t="str">
        <x:v>Encoding</x:v>
      </x:c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48" customHeight="1">
      <x:c r="A68" s="1" t="str">
        <x:v>CNT-074</x:v>
      </x:c>
      <x:c r="B68" s="18" t="str">
        <x:v>content metadata and taxonomy entry</x:v>
      </x:c>
      <x:c r="C68" s="18" t="str">
        <x:v>Selected</x:v>
      </x:c>
      <x:c r="D68" s="18" t="str">
        <x:v>CNT-074</x:v>
      </x:c>
      <x:c r="E68" s="18" t="str">
        <x:v>Taxonomy</x:v>
      </x:c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48" customHeight="1">
      <x:c r="A69" s="1" t="str">
        <x:v>CNT-075</x:v>
      </x:c>
      <x:c r="B69" s="18" t="str">
        <x:v>content ingestion and QA</x:v>
      </x:c>
      <x:c r="C69" s="18" t="str">
        <x:v>Selected</x:v>
      </x:c>
      <x:c r="D69" s="18" t="str">
        <x:v>CNT-075</x:v>
      </x:c>
      <x:c r="E69" s="18" t="str">
        <x:v>Ingest</x:v>
      </x:c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48" customHeight="1">
      <x:c r="A70" s="1" t="str">
        <x:v>CNT-077</x:v>
      </x:c>
      <x:c r="B70" s="18" t="str">
        <x:v>content release and version control</x:v>
      </x:c>
      <x:c r="C70" s="18" t="str">
        <x:v>Selected</x:v>
      </x:c>
      <x:c r="D70" s="18" t="str">
        <x:v>CNT-077</x:v>
      </x:c>
      <x:c r="E70" s="18" t="str">
        <x:v>Release/versioning</x:v>
      </x:c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48" customHeight="1">
      <x:c r="A71" s="1" t="str">
        <x:v>CNT-078</x:v>
      </x:c>
      <x:c r="B71" s="18" t="str">
        <x:v>content proofing and continuity pass</x:v>
      </x:c>
      <x:c r="C71" s="18" t="str">
        <x:v>Selected</x:v>
      </x:c>
      <x:c r="D71" s="18" t="str">
        <x:v>CNT-078</x:v>
      </x:c>
      <x:c r="E71" s="18" t="str">
        <x:v>Continuity proofing</x:v>
      </x:c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48" customHeight="1">
      <x:c r="A72" s="1" t="str">
        <x:v>CNT-079</x:v>
      </x:c>
      <x:c r="B72" s="18" t="str">
        <x:v>bilingual native-language QA</x:v>
      </x:c>
      <x:c r="C72" s="18" t="str">
        <x:v>Selected</x:v>
      </x:c>
      <x:c r="D72" s="18" t="str">
        <x:v>CNT-079</x:v>
      </x:c>
      <x:c r="E72" s="18" t="str">
        <x:v>Native ES review</x:v>
      </x:c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48" customHeight="1">
      <x:c r="A73" s="1" t="str">
        <x:v>CNT-081</x:v>
      </x:c>
      <x:c r="B73" s="18" t="str">
        <x:v>pilot audience review</x:v>
      </x:c>
      <x:c r="C73" s="18" t="str">
        <x:v>Selected</x:v>
      </x:c>
      <x:c r="D73" s="18" t="str">
        <x:v>CNT-081</x:v>
      </x:c>
      <x:c r="E73" s="18" t="str">
        <x:v>Pilot review facilitation</x:v>
      </x:c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48" customHeight="1">
      <x:c r="A74" s="1" t="str">
        <x:v>CNT-083</x:v>
      </x:c>
      <x:c r="B74" s="18" t="str">
        <x:v>showrunner and production management</x:v>
      </x:c>
      <x:c r="C74" s="18" t="str">
        <x:v>Selected</x:v>
      </x:c>
      <x:c r="D74" s="18" t="str">
        <x:v>CNT-083</x:v>
      </x:c>
      <x:c r="E74" s="18" t="str">
        <x:v>Showrunner distinct from creator product oversight</x:v>
      </x:c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48" customHeight="1">
      <x:c r="A75" s="1" t="str">
        <x:v>CNT-084</x:v>
      </x:c>
      <x:c r="B75" s="18" t="str">
        <x:v>content rights and asset librarian</x:v>
      </x:c>
      <x:c r="C75" s="18" t="str">
        <x:v>Selected</x:v>
      </x:c>
      <x:c r="D75" s="18" t="str">
        <x:v>CNT-084</x:v>
      </x:c>
      <x:c r="E75" s="18" t="str">
        <x:v>Asset librarian</x:v>
      </x:c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48" customHeight="1">
      <x:c r="A76" s="1" t="str">
        <x:v>CNT-085</x:v>
      </x:c>
      <x:c r="B76" s="18" t="str">
        <x:v>final delivery package and handoff</x:v>
      </x:c>
      <x:c r="C76" s="18" t="str">
        <x:v>Selected</x:v>
      </x:c>
      <x:c r="D76" s="18" t="str">
        <x:v>CNT-085</x:v>
      </x:c>
      <x:c r="E76" s="18" t="str">
        <x:v>Delivery</x:v>
      </x:c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48" customHeight="1">
      <x:c r="A77" s="1" t="str">
        <x:v>CNT-086</x:v>
      </x:c>
      <x:c r="B77" s="18" t="str">
        <x:v>parent portal notification copy</x:v>
      </x:c>
      <x:c r="C77" s="18" t="str">
        <x:v>Selected</x:v>
      </x:c>
      <x:c r="D77" s="18" t="str">
        <x:v>CNT-086</x:v>
      </x:c>
      <x:c r="E77" s="18" t="str">
        <x:v>Notification copy</x:v>
      </x:c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48" customHeight="1">
      <x:c r="A78" s="1" t="str">
        <x:v>CNT-087</x:v>
      </x:c>
      <x:c r="B78" s="18" t="str">
        <x:v>teacher facilitation prompts</x:v>
      </x:c>
      <x:c r="C78" s="18" t="str">
        <x:v>Selected</x:v>
      </x:c>
      <x:c r="D78" s="18" t="str">
        <x:v>CNT-087</x:v>
      </x:c>
      <x:c r="E78" s="18" t="str">
        <x:v>Facilitation prompts</x:v>
      </x:c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48" customHeight="1">
      <x:c r="A79" s="1" t="str">
        <x:v>CNT-088</x:v>
      </x:c>
      <x:c r="B79" s="18" t="str">
        <x:v>printable worksheet and activity artwork</x:v>
      </x:c>
      <x:c r="C79" s="18" t="str">
        <x:v>Selected</x:v>
      </x:c>
      <x:c r="D79" s="18" t="str">
        <x:v>CNT-088</x:v>
      </x:c>
      <x:c r="E79" s="18" t="str">
        <x:v>48 worksheet designs</x:v>
      </x:c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48" customHeight="1">
      <x:c r="A80" s="1" t="str">
        <x:v>CNT-089</x:v>
      </x:c>
      <x:c r="B80" s="18" t="str">
        <x:v>merchandise-ready character artwork</x:v>
      </x:c>
      <x:c r="C80" s="18" t="str">
        <x:v>Selected</x:v>
      </x:c>
      <x:c r="D80" s="18" t="str">
        <x:v>CNT-089</x:v>
      </x:c>
      <x:c r="E80" s="18" t="str">
        <x:v>Merch art masters</x:v>
      </x:c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48" customHeight="1">
      <x:c r="A81" s="1" t="str">
        <x:v>CNT-090</x:v>
      </x:c>
      <x:c r="B81" s="18" t="str">
        <x:v>interactive character motion states</x:v>
      </x:c>
      <x:c r="C81" s="18" t="str">
        <x:v>Selected</x:v>
      </x:c>
      <x:c r="D81" s="18" t="str">
        <x:v>CNT-090</x:v>
      </x:c>
      <x:c r="E81" s="18" t="str">
        <x:v>24 short reusable states; separate from season</x:v>
      </x:c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48" customHeight="1">
      <x:c r="A82" s="1" t="str">
        <x:v>CNT-091</x:v>
      </x:c>
      <x:c r="B82" s="18" t="str">
        <x:v>interactive character message recordings</x:v>
      </x:c>
      <x:c r="C82" s="18" t="str">
        <x:v>Selected</x:v>
      </x:c>
      <x:c r="D82" s="18" t="str">
        <x:v>CNT-091</x:v>
      </x:c>
      <x:c r="E82" s="18" t="str">
        <x:v>40 finite approved clips; not open AI</x:v>
      </x:c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48" customHeight="1">
      <x:c r="A83" s="1" t="str">
        <x:v>CNT-092</x:v>
      </x:c>
      <x:c r="B83" s="18" t="str">
        <x:v>transcript and printable text versions</x:v>
      </x:c>
      <x:c r="C83" s="18" t="str">
        <x:v>Selected</x:v>
      </x:c>
      <x:c r="D83" s="18" t="str">
        <x:v>CNT-092</x:v>
      </x:c>
      <x:c r="E83" s="18" t="str">
        <x:v>Printable transcripts</x:v>
      </x:c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48" customHeight="1">
      <x:c r="A84" s="1" t="str">
        <x:v>CNT-093</x:v>
      </x:c>
      <x:c r="B84" s="18" t="str">
        <x:v>stock image, font and template license audit</x:v>
      </x:c>
      <x:c r="C84" s="18" t="str">
        <x:v>Selected</x:v>
      </x:c>
      <x:c r="D84" s="18" t="str">
        <x:v>CNT-093</x:v>
      </x:c>
      <x:c r="E84" s="18" t="str">
        <x:v>Stock license audit</x:v>
      </x:c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48" customHeight="1">
      <x:c r="A85" s="1" t="str">
        <x:v>CNT-094</x:v>
      </x:c>
      <x:c r="B85" s="18" t="str">
        <x:v>content analytics and outcome measurement setup</x:v>
      </x:c>
      <x:c r="C85" s="18" t="str">
        <x:v>Selected</x:v>
      </x:c>
      <x:c r="D85" s="18" t="str">
        <x:v>CNT-094</x:v>
      </x:c>
      <x:c r="E85" s="18" t="str">
        <x:v>Content outcome measurement design</x:v>
      </x:c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48" customHeight="1">
      <x:c r="A86" s="1" t="str">
        <x:v>CNT-095</x:v>
      </x:c>
      <x:c r="B86" s="18" t="str">
        <x:v>incident, correction and takedown process</x:v>
      </x:c>
      <x:c r="C86" s="18" t="str">
        <x:v>Selected</x:v>
      </x:c>
      <x:c r="D86" s="18" t="str">
        <x:v>CNT-095</x:v>
      </x:c>
      <x:c r="E86" s="18" t="str">
        <x:v>Editorial correction process</x:v>
      </x:c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48" customHeight="1">
      <x:c r="A87" s="1" t="str">
        <x:v>CNT-025</x:v>
      </x:c>
      <x:c r="B87" s="18" t="str">
        <x:v>layout and shot staging</x:v>
      </x:c>
      <x:c r="C87" s="18" t="str">
        <x:v>Covered elsewhere</x:v>
      </x:c>
      <x:c r="D87" s="18" t="str">
        <x:v>CNT-026</x:v>
      </x:c>
      <x:c r="E87" s="18" t="str">
        <x:v>Assumed included in animation package; separate quote could increase cost if excluded.</x:v>
      </x:c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48" customHeight="1">
      <x:c r="A88" s="1" t="str">
        <x:v>CNT-027</x:v>
      </x:c>
      <x:c r="B88" s="18" t="str">
        <x:v>background and prop animation</x:v>
      </x:c>
      <x:c r="C88" s="18" t="str">
        <x:v>Covered elsewhere</x:v>
      </x:c>
      <x:c r="D88" s="18" t="str">
        <x:v>CNT-026</x:v>
      </x:c>
      <x:c r="E88" s="18" t="str">
        <x:v>Assumed included in animation package; separate quote could increase cost if excluded.</x:v>
      </x:c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48" customHeight="1">
      <x:c r="A89" s="1" t="str">
        <x:v>CNT-028</x:v>
      </x:c>
      <x:c r="B89" s="18" t="str">
        <x:v>effects and transitions</x:v>
      </x:c>
      <x:c r="C89" s="18" t="str">
        <x:v>Covered elsewhere</x:v>
      </x:c>
      <x:c r="D89" s="18" t="str">
        <x:v>CNT-026</x:v>
      </x:c>
      <x:c r="E89" s="18" t="str">
        <x:v>Assumed included in animation package; separate quote could increase cost if excluded.</x:v>
      </x:c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48" customHeight="1">
      <x:c r="A90" s="1" t="str">
        <x:v>CNT-029</x:v>
      </x:c>
      <x:c r="B90" s="18" t="str">
        <x:v>compositing and color</x:v>
      </x:c>
      <x:c r="C90" s="18" t="str">
        <x:v>Covered elsewhere</x:v>
      </x:c>
      <x:c r="D90" s="18" t="str">
        <x:v>CNT-026</x:v>
      </x:c>
      <x:c r="E90" s="18" t="str">
        <x:v>Assumed included in animation package; separate quote could increase cost if excluded.</x:v>
      </x:c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48" customHeight="1">
      <x:c r="A91" s="1" t="str">
        <x:v>CNT-030</x:v>
      </x:c>
      <x:c r="B91" s="18" t="str">
        <x:v>animation revision rounds</x:v>
      </x:c>
      <x:c r="C91" s="18" t="str">
        <x:v>Covered elsewhere</x:v>
      </x:c>
      <x:c r="D91" s="18" t="str">
        <x:v>CNT-026</x:v>
      </x:c>
      <x:c r="E91" s="18" t="str">
        <x:v>Assumed included in animation package; separate quote could increase cost if excluded.</x:v>
      </x:c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48" customHeight="1">
      <x:c r="A92" s="1" t="str">
        <x:v>CNT-055</x:v>
      </x:c>
      <x:c r="B92" s="18" t="str">
        <x:v>QR destination hosting and analytics</x:v>
      </x:c>
      <x:c r="C92" s="18" t="str">
        <x:v>Covered elsewhere</x:v>
      </x:c>
      <x:c r="D92" s="18" t="str">
        <x:v>EXT-006</x:v>
      </x:c>
      <x:c r="E92" s="18" t="str">
        <x:v>Consolidated scope; do not charge twice.</x:v>
      </x:c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48" customHeight="1">
      <x:c r="A93" s="1" t="str">
        <x:v>CNT-061</x:v>
      </x:c>
      <x:c r="B93" s="18" t="str">
        <x:v>campaign concept and message platform</x:v>
      </x:c>
      <x:c r="C93" s="18" t="str">
        <x:v>Covered elsewhere</x:v>
      </x:c>
      <x:c r="D93" s="18" t="str">
        <x:v>MKT-003</x:v>
      </x:c>
      <x:c r="E93" s="18" t="str">
        <x:v>Consolidated scope; do not charge twice.</x:v>
      </x:c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48" customHeight="1">
      <x:c r="A94" s="1" t="str">
        <x:v>CNT-067</x:v>
      </x:c>
      <x:c r="B94" s="18" t="str">
        <x:v>website landing-page copy and conversion QA</x:v>
      </x:c>
      <x:c r="C94" s="18" t="str">
        <x:v>Covered elsewhere</x:v>
      </x:c>
      <x:c r="D94" s="18" t="str">
        <x:v>MKT-026</x:v>
      </x:c>
      <x:c r="E94" s="18" t="str">
        <x:v>Consolidated scope; do not charge twice.</x:v>
      </x:c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48" customHeight="1">
      <x:c r="A95" s="1" t="str">
        <x:v>CNT-068</x:v>
      </x:c>
      <x:c r="B95" s="18" t="str">
        <x:v>press, community and launch announcement package</x:v>
      </x:c>
      <x:c r="C95" s="18" t="str">
        <x:v>Covered elsewhere</x:v>
      </x:c>
      <x:c r="D95" s="18" t="str">
        <x:v>MKT-057</x:v>
      </x:c>
      <x:c r="E95" s="18" t="str">
        <x:v>Consolidated scope; do not charge twice.</x:v>
      </x:c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48" customHeight="1">
      <x:c r="A96" s="1" t="str">
        <x:v>CNT-072</x:v>
      </x:c>
      <x:c r="B96" s="18" t="str">
        <x:v>child privacy and consent review for content</x:v>
      </x:c>
      <x:c r="C96" s="18" t="str">
        <x:v>Covered elsewhere</x:v>
      </x:c>
      <x:c r="D96" s="18" t="str">
        <x:v>OPS-157</x:v>
      </x:c>
      <x:c r="E96" s="18" t="str">
        <x:v>Consolidated scope; do not charge twice.</x:v>
      </x:c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48" customHeight="1">
      <x:c r="A97" s="1" t="str">
        <x:v>CNT-076</x:v>
      </x:c>
      <x:c r="B97" s="18" t="str">
        <x:v>backup and restore of source and final assets</x:v>
      </x:c>
      <x:c r="C97" s="18" t="str">
        <x:v>Covered elsewhere</x:v>
      </x:c>
      <x:c r="D97" s="18" t="str">
        <x:v>EXT-014</x:v>
      </x:c>
      <x:c r="E97" s="18" t="str">
        <x:v>Consolidated scope; do not charge twice.</x:v>
      </x:c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48" customHeight="1">
      <x:c r="A98" s="1" t="str">
        <x:v>CNT-080</x:v>
      </x:c>
      <x:c r="B98" s="18" t="str">
        <x:v>device and browser media QA</x:v>
      </x:c>
      <x:c r="C98" s="18" t="str">
        <x:v>Covered elsewhere</x:v>
      </x:c>
      <x:c r="D98" s="18" t="str">
        <x:v>PLA-042</x:v>
      </x:c>
      <x:c r="E98" s="18" t="str">
        <x:v>Consolidated scope; do not charge twice.</x:v>
      </x:c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48" customHeight="1">
      <x:c r="A99" s="1" t="str">
        <x:v>CNT-082</x:v>
      </x:c>
      <x:c r="B99" s="18" t="str">
        <x:v>rework and contingency allowance</x:v>
      </x:c>
      <x:c r="C99" s="18" t="str">
        <x:v>Covered elsewhere</x:v>
      </x:c>
      <x:c r="D99" s="18" t="str">
        <x:v>RES-002</x:v>
      </x:c>
      <x:c r="E99" s="18" t="str">
        <x:v>Consolidated scope; do not charge twice.</x:v>
      </x:c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48" customHeight="1">
      <x:c r="A100" s="1" t="str">
        <x:v>MKT-001</x:v>
      </x:c>
      <x:c r="B100" s="18" t="str">
        <x:v>Market and customer discovery interviews</x:v>
      </x:c>
      <x:c r="C100" s="18" t="str">
        <x:v>Selected</x:v>
      </x:c>
      <x:c r="D100" s="18" t="str">
        <x:v>MKT-001</x:v>
      </x:c>
      <x:c r="E100" s="18" t="str">
        <x:v>One-location local launch plus partner prospecting; rates other than named subscriptions are allowances.</x:v>
      </x:c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48" customHeight="1">
      <x:c r="A101" s="1" t="str">
        <x:v>MKT-002</x:v>
      </x:c>
      <x:c r="B101" s="18" t="str">
        <x:v>Local market and competitor scan</x:v>
      </x:c>
      <x:c r="C101" s="18" t="str">
        <x:v>Selected</x:v>
      </x:c>
      <x:c r="D101" s="18" t="str">
        <x:v>MKT-002</x:v>
      </x:c>
      <x:c r="E101" s="18" t="str">
        <x:v>One-location local launch plus partner prospecting; rates other than named subscriptions are allowances.</x:v>
      </x:c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48" customHeight="1">
      <x:c r="A102" s="1" t="str">
        <x:v>MKT-003</x:v>
      </x:c>
      <x:c r="B102" s="18" t="str">
        <x:v>Positioning and message architecture</x:v>
      </x:c>
      <x:c r="C102" s="18" t="str">
        <x:v>Selected</x:v>
      </x:c>
      <x:c r="D102" s="18" t="str">
        <x:v>MKT-003</x:v>
      </x:c>
      <x:c r="E102" s="18" t="str">
        <x:v>One-location local launch plus partner prospecting; rates other than named subscriptions are allowances.</x:v>
      </x:c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48" customHeight="1">
      <x:c r="A103" s="1" t="str">
        <x:v>MKT-004</x:v>
      </x:c>
      <x:c r="B103" s="18" t="str">
        <x:v>Audience and journey maps</x:v>
      </x:c>
      <x:c r="C103" s="18" t="str">
        <x:v>Selected</x:v>
      </x:c>
      <x:c r="D103" s="18" t="str">
        <x:v>MKT-004</x:v>
      </x:c>
      <x:c r="E103" s="18" t="str">
        <x:v>One-location local launch plus partner prospecting; rates other than named subscriptions are allowances.</x:v>
      </x:c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48" customHeight="1">
      <x:c r="A104" s="1" t="str">
        <x:v>MKT-005</x:v>
      </x:c>
      <x:c r="B104" s="18" t="str">
        <x:v>Annual marketing calendar</x:v>
      </x:c>
      <x:c r="C104" s="18" t="str">
        <x:v>Selected</x:v>
      </x:c>
      <x:c r="D104" s="18" t="str">
        <x:v>MKT-005</x:v>
      </x:c>
      <x:c r="E104" s="18" t="str">
        <x:v>One-location local launch plus partner prospecting; rates other than named subscriptions are allowances.</x:v>
      </x:c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48" customHeight="1">
      <x:c r="A105" s="1" t="str">
        <x:v>MKT-006</x:v>
      </x:c>
      <x:c r="B105" s="18" t="str">
        <x:v>Campaign budget and approval controls</x:v>
      </x:c>
      <x:c r="C105" s="18" t="str">
        <x:v>Selected</x:v>
      </x:c>
      <x:c r="D105" s="18" t="str">
        <x:v>MKT-006</x:v>
      </x:c>
      <x:c r="E105" s="18" t="str">
        <x:v>One-location local launch plus partner prospecting; rates other than named subscriptions are allowances.</x:v>
      </x:c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48" customHeight="1">
      <x:c r="A106" s="1" t="str">
        <x:v>MKT-007</x:v>
      </x:c>
      <x:c r="B106" s="18" t="str">
        <x:v>Fractional marketing director</x:v>
      </x:c>
      <x:c r="C106" s="18" t="str">
        <x:v>Selected</x:v>
      </x:c>
      <x:c r="D106" s="18" t="str">
        <x:v>MKT-007</x:v>
      </x:c>
      <x:c r="E106" s="18" t="str">
        <x:v>One-location local launch plus partner prospecting; rates other than named subscriptions are allowances.</x:v>
      </x:c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48" customHeight="1">
      <x:c r="A107" s="1" t="str">
        <x:v>MKT-012</x:v>
      </x:c>
      <x:c r="B107" s="18" t="str">
        <x:v>Photographer</x:v>
      </x:c>
      <x:c r="C107" s="18" t="str">
        <x:v>Selected</x:v>
      </x:c>
      <x:c r="D107" s="18" t="str">
        <x:v>MKT-012</x:v>
      </x:c>
      <x:c r="E107" s="18" t="str">
        <x:v>One-location local launch plus partner prospecting; rates other than named subscriptions are allowances.</x:v>
      </x:c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48" customHeight="1">
      <x:c r="A108" s="1" t="str">
        <x:v>MKT-016</x:v>
      </x:c>
      <x:c r="B108" s="18" t="str">
        <x:v>Community/partner outreach representative</x:v>
      </x:c>
      <x:c r="C108" s="18" t="str">
        <x:v>Selected</x:v>
      </x:c>
      <x:c r="D108" s="18" t="str">
        <x:v>MKT-016</x:v>
      </x:c>
      <x:c r="E108" s="18" t="str">
        <x:v>One-location local launch plus partner prospecting; rates other than named subscriptions are allowances.</x:v>
      </x:c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48" customHeight="1">
      <x:c r="A109" s="1" t="str">
        <x:v>MKT-017</x:v>
      </x:c>
      <x:c r="B109" s="18" t="str">
        <x:v>Brand asset inventory and source-of-truth cleanup</x:v>
      </x:c>
      <x:c r="C109" s="18" t="str">
        <x:v>Selected</x:v>
      </x:c>
      <x:c r="D109" s="18" t="str">
        <x:v>MKT-017</x:v>
      </x:c>
      <x:c r="E109" s="18" t="str">
        <x:v>One-location local launch plus partner prospecting; rates other than named subscriptions are allowances.</x:v>
      </x:c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48" customHeight="1">
      <x:c r="A110" s="1" t="str">
        <x:v>MKT-018</x:v>
      </x:c>
      <x:c r="B110" s="18" t="str">
        <x:v>Campaign creative brief</x:v>
      </x:c>
      <x:c r="C110" s="18" t="str">
        <x:v>Selected</x:v>
      </x:c>
      <x:c r="D110" s="18" t="str">
        <x:v>MKT-018</x:v>
      </x:c>
      <x:c r="E110" s="18" t="str">
        <x:v>One-location local launch plus partner prospecting; rates other than named subscriptions are allowances.</x:v>
      </x:c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48" customHeight="1">
      <x:c r="A111" s="1" t="str">
        <x:v>MKT-019</x:v>
      </x:c>
      <x:c r="B111" s="18" t="str">
        <x:v>Family testimonial capture</x:v>
      </x:c>
      <x:c r="C111" s="18" t="str">
        <x:v>Selected</x:v>
      </x:c>
      <x:c r="D111" s="18" t="str">
        <x:v>MKT-019</x:v>
      </x:c>
      <x:c r="E111" s="18" t="str">
        <x:v>One-location local launch plus partner prospecting; rates other than named subscriptions are allowances.</x:v>
      </x:c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48" customHeight="1">
      <x:c r="A112" s="1" t="str">
        <x:v>MKT-020</x:v>
      </x:c>
      <x:c r="B112" s="18" t="str">
        <x:v>Daycare director case study</x:v>
      </x:c>
      <x:c r="C112" s="18" t="str">
        <x:v>Selected</x:v>
      </x:c>
      <x:c r="D112" s="18" t="str">
        <x:v>MKT-020</x:v>
      </x:c>
      <x:c r="E112" s="18" t="str">
        <x:v>One-location local launch plus partner prospecting; rates other than named subscriptions are allowances.</x:v>
      </x:c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48" customHeight="1">
      <x:c r="A113" s="1" t="str">
        <x:v>MKT-021</x:v>
      </x:c>
      <x:c r="B113" s="18" t="str">
        <x:v>Landing-page hero image set</x:v>
      </x:c>
      <x:c r="C113" s="18" t="str">
        <x:v>Selected</x:v>
      </x:c>
      <x:c r="D113" s="18" t="str">
        <x:v>MKT-021</x:v>
      </x:c>
      <x:c r="E113" s="18" t="str">
        <x:v>One-location local launch plus partner prospecting; rates other than named subscriptions are allowances.</x:v>
      </x:c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48" customHeight="1">
      <x:c r="A114" s="1" t="str">
        <x:v>MKT-022</x:v>
      </x:c>
      <x:c r="B114" s="18" t="str">
        <x:v>Ad copy and creative variants</x:v>
      </x:c>
      <x:c r="C114" s="18" t="str">
        <x:v>Selected</x:v>
      </x:c>
      <x:c r="D114" s="18" t="str">
        <x:v>MKT-022</x:v>
      </x:c>
      <x:c r="E114" s="18" t="str">
        <x:v>One-location local launch plus partner prospecting; rates other than named subscriptions are allowances.</x:v>
      </x:c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48" customHeight="1">
      <x:c r="A115" s="1" t="str">
        <x:v>MKT-023</x:v>
      </x:c>
      <x:c r="B115" s="18" t="str">
        <x:v>Printed flyer/postcard</x:v>
      </x:c>
      <x:c r="C115" s="18" t="str">
        <x:v>Selected</x:v>
      </x:c>
      <x:c r="D115" s="18" t="str">
        <x:v>MKT-023</x:v>
      </x:c>
      <x:c r="E115" s="18" t="str">
        <x:v>One-location local launch plus partner prospecting; rates other than named subscriptions are allowances.</x:v>
      </x:c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48" customHeight="1">
      <x:c r="A116" s="1" t="str">
        <x:v>MKT-024</x:v>
      </x:c>
      <x:c r="B116" s="18" t="str">
        <x:v>Sales presentation and partner leave-behind</x:v>
      </x:c>
      <x:c r="C116" s="18" t="str">
        <x:v>Selected</x:v>
      </x:c>
      <x:c r="D116" s="18" t="str">
        <x:v>MKT-024</x:v>
      </x:c>
      <x:c r="E116" s="18" t="str">
        <x:v>One-location local launch plus partner prospecting; rates other than named subscriptions are allowances.</x:v>
      </x:c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48" customHeight="1">
      <x:c r="A117" s="1" t="str">
        <x:v>MKT-025</x:v>
      </x:c>
      <x:c r="B117" s="18" t="str">
        <x:v>QR habit-card campaign pack</x:v>
      </x:c>
      <x:c r="C117" s="18" t="str">
        <x:v>Selected</x:v>
      </x:c>
      <x:c r="D117" s="18" t="str">
        <x:v>MKT-025</x:v>
      </x:c>
      <x:c r="E117" s="18" t="str">
        <x:v>One-location local launch plus partner prospecting; rates other than named subscriptions are allowances.</x:v>
      </x:c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48" customHeight="1">
      <x:c r="A118" s="1" t="str">
        <x:v>MKT-026</x:v>
      </x:c>
      <x:c r="B118" s="18" t="str">
        <x:v>Audience landing page copy and build</x:v>
      </x:c>
      <x:c r="C118" s="18" t="str">
        <x:v>Selected</x:v>
      </x:c>
      <x:c r="D118" s="18" t="str">
        <x:v>MKT-026</x:v>
      </x:c>
      <x:c r="E118" s="18" t="str">
        <x:v>One-location local launch plus partner prospecting; rates other than named subscriptions are allowances.</x:v>
      </x:c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48" customHeight="1">
      <x:c r="A119" s="1" t="str">
        <x:v>MKT-027</x:v>
      </x:c>
      <x:c r="B119" s="18" t="str">
        <x:v>Offer and pricing page</x:v>
      </x:c>
      <x:c r="C119" s="18" t="str">
        <x:v>Selected</x:v>
      </x:c>
      <x:c r="D119" s="18" t="str">
        <x:v>MKT-027</x:v>
      </x:c>
      <x:c r="E119" s="18" t="str">
        <x:v>One-location local launch plus partner prospecting; rates other than named subscriptions are allowances.</x:v>
      </x:c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48" customHeight="1">
      <x:c r="A120" s="1" t="str">
        <x:v>MKT-029</x:v>
      </x:c>
      <x:c r="B120" s="18" t="str">
        <x:v>SEO metadata and structured content</x:v>
      </x:c>
      <x:c r="C120" s="18" t="str">
        <x:v>Selected</x:v>
      </x:c>
      <x:c r="D120" s="18" t="str">
        <x:v>MKT-029</x:v>
      </x:c>
      <x:c r="E120" s="18" t="str">
        <x:v>One-location local launch plus partner prospecting; rates other than named subscriptions are allowances.</x:v>
      </x:c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48" customHeight="1">
      <x:c r="A121" s="1" t="str">
        <x:v>MKT-030</x:v>
      </x:c>
      <x:c r="B121" s="18" t="str">
        <x:v>Google Business Profile/local listing management</x:v>
      </x:c>
      <x:c r="C121" s="18" t="str">
        <x:v>Selected</x:v>
      </x:c>
      <x:c r="D121" s="18" t="str">
        <x:v>MKT-030</x:v>
      </x:c>
      <x:c r="E121" s="18" t="str">
        <x:v>One-location local launch plus partner prospecting; rates other than named subscriptions are allowances.</x:v>
      </x:c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48" customHeight="1">
      <x:c r="A122" s="1" t="str">
        <x:v>MKT-031</x:v>
      </x:c>
      <x:c r="B122" s="18" t="str">
        <x:v>Conversion tracking and attribution setup</x:v>
      </x:c>
      <x:c r="C122" s="18" t="str">
        <x:v>Selected</x:v>
      </x:c>
      <x:c r="D122" s="18" t="str">
        <x:v>MKT-031</x:v>
      </x:c>
      <x:c r="E122" s="18" t="str">
        <x:v>One-location local launch plus partner prospecting; rates other than named subscriptions are allowances.</x:v>
      </x:c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48" customHeight="1">
      <x:c r="A123" s="1" t="str">
        <x:v>MKT-033</x:v>
      </x:c>
      <x:c r="B123" s="18" t="str">
        <x:v>Paid search media spend</x:v>
      </x:c>
      <x:c r="C123" s="18" t="str">
        <x:v>Selected</x:v>
      </x:c>
      <x:c r="D123" s="18" t="str">
        <x:v>MKT-033</x:v>
      </x:c>
      <x:c r="E123" s="18" t="str">
        <x:v>One-location local launch plus partner prospecting; rates other than named subscriptions are allowances.</x:v>
      </x:c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48" customHeight="1">
      <x:c r="A124" s="1" t="str">
        <x:v>MKT-034</x:v>
      </x:c>
      <x:c r="B124" s="18" t="str">
        <x:v>Paid social media spend</x:v>
      </x:c>
      <x:c r="C124" s="18" t="str">
        <x:v>Selected</x:v>
      </x:c>
      <x:c r="D124" s="18" t="str">
        <x:v>MKT-034</x:v>
      </x:c>
      <x:c r="E124" s="18" t="str">
        <x:v>One-location local launch plus partner prospecting; rates other than named subscriptions are allowances.</x:v>
      </x:c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48" customHeight="1">
      <x:c r="A125" s="1" t="str">
        <x:v>MKT-035</x:v>
      </x:c>
      <x:c r="B125" s="18" t="str">
        <x:v>Retargeting media spend</x:v>
      </x:c>
      <x:c r="C125" s="18" t="str">
        <x:v>Selected</x:v>
      </x:c>
      <x:c r="D125" s="18" t="str">
        <x:v>MKT-035</x:v>
      </x:c>
      <x:c r="E125" s="18" t="str">
        <x:v>One-location local launch plus partner prospecting; rates other than named subscriptions are allowances.</x:v>
      </x:c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48" customHeight="1">
      <x:c r="A126" s="1" t="str">
        <x:v>MKT-036</x:v>
      </x:c>
      <x:c r="B126" s="18" t="str">
        <x:v>Agency or freelancer media-management fee</x:v>
      </x:c>
      <x:c r="C126" s="18" t="str">
        <x:v>Selected</x:v>
      </x:c>
      <x:c r="D126" s="18" t="str">
        <x:v>MKT-036</x:v>
      </x:c>
      <x:c r="E126" s="18" t="str">
        <x:v>One-location local launch plus partner prospecting; rates other than named subscriptions are allowances.</x:v>
      </x:c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48" customHeight="1">
      <x:c r="A127" s="1" t="str">
        <x:v>MKT-038</x:v>
      </x:c>
      <x:c r="B127" s="18" t="str">
        <x:v>Email marketing platform</x:v>
      </x:c>
      <x:c r="C127" s="18" t="str">
        <x:v>Selected</x:v>
      </x:c>
      <x:c r="D127" s="18" t="str">
        <x:v>MKT-038</x:v>
      </x:c>
      <x:c r="E127" s="18" t="str">
        <x:v>One-location local launch plus partner prospecting; rates other than named subscriptions are allowances.</x:v>
      </x:c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48" customHeight="1">
      <x:c r="A128" s="1" t="str">
        <x:v>MKT-041</x:v>
      </x:c>
      <x:c r="B128" s="18" t="str">
        <x:v>Newsletter/editorial production</x:v>
      </x:c>
      <x:c r="C128" s="18" t="str">
        <x:v>Selected</x:v>
      </x:c>
      <x:c r="D128" s="18" t="str">
        <x:v>MKT-041</x:v>
      </x:c>
      <x:c r="E128" s="18" t="str">
        <x:v>One-location local launch plus partner prospecting; rates other than named subscriptions are allowances.</x:v>
      </x:c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48" customHeight="1">
      <x:c r="A129" s="1" t="str">
        <x:v>MKT-042</x:v>
      </x:c>
      <x:c r="B129" s="18" t="str">
        <x:v>Referral program materials</x:v>
      </x:c>
      <x:c r="C129" s="18" t="str">
        <x:v>Selected</x:v>
      </x:c>
      <x:c r="D129" s="18" t="str">
        <x:v>MKT-042</x:v>
      </x:c>
      <x:c r="E129" s="18" t="str">
        <x:v>One-location local launch plus partner prospecting; rates other than named subscriptions are allowances.</x:v>
      </x:c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48" customHeight="1">
      <x:c r="A130" s="1" t="str">
        <x:v>MKT-043</x:v>
      </x:c>
      <x:c r="B130" s="18" t="str">
        <x:v>Daycare partner prospect list building</x:v>
      </x:c>
      <x:c r="C130" s="18" t="str">
        <x:v>Selected</x:v>
      </x:c>
      <x:c r="D130" s="18" t="str">
        <x:v>MKT-043</x:v>
      </x:c>
      <x:c r="E130" s="18" t="str">
        <x:v>One-location local launch plus partner prospecting; rates other than named subscriptions are allowances.</x:v>
      </x:c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48" customHeight="1">
      <x:c r="A131" s="1" t="str">
        <x:v>MKT-044</x:v>
      </x:c>
      <x:c r="B131" s="18" t="str">
        <x:v>Church partner prospect list building</x:v>
      </x:c>
      <x:c r="C131" s="18" t="str">
        <x:v>Selected</x:v>
      </x:c>
      <x:c r="D131" s="18" t="str">
        <x:v>MKT-044</x:v>
      </x:c>
      <x:c r="E131" s="18" t="str">
        <x:v>One-location local launch plus partner prospecting; rates other than named subscriptions are allowances.</x:v>
      </x:c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48" customHeight="1">
      <x:c r="A132" s="1" t="str">
        <x:v>MKT-045</x:v>
      </x:c>
      <x:c r="B132" s="18" t="str">
        <x:v>Outbound email/call sequence</x:v>
      </x:c>
      <x:c r="C132" s="18" t="str">
        <x:v>Selected</x:v>
      </x:c>
      <x:c r="D132" s="18" t="str">
        <x:v>MKT-045</x:v>
      </x:c>
      <x:c r="E132" s="18" t="str">
        <x:v>One-location local launch plus partner prospecting; rates other than named subscriptions are allowances.</x:v>
      </x:c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48" customHeight="1">
      <x:c r="A133" s="1" t="str">
        <x:v>MKT-046</x:v>
      </x:c>
      <x:c r="B133" s="18" t="str">
        <x:v>Partner discovery meeting</x:v>
      </x:c>
      <x:c r="C133" s="18" t="str">
        <x:v>Selected</x:v>
      </x:c>
      <x:c r="D133" s="18" t="str">
        <x:v>MKT-046</x:v>
      </x:c>
      <x:c r="E133" s="18" t="str">
        <x:v>One-location local launch plus partner prospecting; rates other than named subscriptions are allowances.</x:v>
      </x:c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48" customHeight="1">
      <x:c r="A134" s="1" t="str">
        <x:v>MKT-047</x:v>
      </x:c>
      <x:c r="B134" s="18" t="str">
        <x:v>On-site center/church demo</x:v>
      </x:c>
      <x:c r="C134" s="18" t="str">
        <x:v>Selected</x:v>
      </x:c>
      <x:c r="D134" s="18" t="str">
        <x:v>MKT-047</x:v>
      </x:c>
      <x:c r="E134" s="18" t="str">
        <x:v>One-location local launch plus partner prospecting; rates other than named subscriptions are allowances.</x:v>
      </x:c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48" customHeight="1">
      <x:c r="A135" s="1" t="str">
        <x:v>MKT-048</x:v>
      </x:c>
      <x:c r="B135" s="18" t="str">
        <x:v>Partner proposal and pricing configuration</x:v>
      </x:c>
      <x:c r="C135" s="18" t="str">
        <x:v>Selected</x:v>
      </x:c>
      <x:c r="D135" s="18" t="str">
        <x:v>MKT-048</x:v>
      </x:c>
      <x:c r="E135" s="18" t="str">
        <x:v>One-location local launch plus partner prospecting; rates other than named subscriptions are allowances.</x:v>
      </x:c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48" customHeight="1">
      <x:c r="A136" s="1" t="str">
        <x:v>MKT-049</x:v>
      </x:c>
      <x:c r="B136" s="18" t="str">
        <x:v>Partner onboarding materials and training</x:v>
      </x:c>
      <x:c r="C136" s="18" t="str">
        <x:v>Selected</x:v>
      </x:c>
      <x:c r="D136" s="18" t="str">
        <x:v>MKT-049</x:v>
      </x:c>
      <x:c r="E136" s="18" t="str">
        <x:v>One-location local launch plus partner prospecting; rates other than named subscriptions are allowances.</x:v>
      </x:c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48" customHeight="1">
      <x:c r="A137" s="1" t="str">
        <x:v>MKT-051</x:v>
      </x:c>
      <x:c r="B137" s="18" t="str">
        <x:v>Partner renewal and expansion campaign</x:v>
      </x:c>
      <x:c r="C137" s="18" t="str">
        <x:v>Selected</x:v>
      </x:c>
      <x:c r="D137" s="18" t="str">
        <x:v>MKT-051</x:v>
      </x:c>
      <x:c r="E137" s="18" t="str">
        <x:v>One-location local launch plus partner prospecting; rates other than named subscriptions are allowances.</x:v>
      </x:c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48" customHeight="1">
      <x:c r="A138" s="1" t="str">
        <x:v>MKT-052</x:v>
      </x:c>
      <x:c r="B138" s="18" t="str">
        <x:v>Local family open house</x:v>
      </x:c>
      <x:c r="C138" s="18" t="str">
        <x:v>Selected</x:v>
      </x:c>
      <x:c r="D138" s="18" t="str">
        <x:v>MKT-052</x:v>
      </x:c>
      <x:c r="E138" s="18" t="str">
        <x:v>One-location local launch plus partner prospecting; rates other than named subscriptions are allowances.</x:v>
      </x:c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48" customHeight="1">
      <x:c r="A139" s="1" t="str">
        <x:v>MKT-053</x:v>
      </x:c>
      <x:c r="B139" s="18" t="str">
        <x:v>Daycare/church conference booth or table</x:v>
      </x:c>
      <x:c r="C139" s="18" t="str">
        <x:v>Selected</x:v>
      </x:c>
      <x:c r="D139" s="18" t="str">
        <x:v>MKT-053</x:v>
      </x:c>
      <x:c r="E139" s="18" t="str">
        <x:v>One-location local launch plus partner prospecting; rates other than named subscriptions are allowances.</x:v>
      </x:c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48" customHeight="1">
      <x:c r="A140" s="1" t="str">
        <x:v>MKT-054</x:v>
      </x:c>
      <x:c r="B140" s="18" t="str">
        <x:v>Community sponsorship</x:v>
      </x:c>
      <x:c r="C140" s="18" t="str">
        <x:v>Selected</x:v>
      </x:c>
      <x:c r="D140" s="18" t="str">
        <x:v>MKT-054</x:v>
      </x:c>
      <x:c r="E140" s="18" t="str">
        <x:v>One-location local launch plus partner prospecting; rates other than named subscriptions are allowances.</x:v>
      </x:c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48" customHeight="1">
      <x:c r="A141" s="1" t="str">
        <x:v>MKT-055</x:v>
      </x:c>
      <x:c r="B141" s="18" t="str">
        <x:v>Event staffing and setup</x:v>
      </x:c>
      <x:c r="C141" s="18" t="str">
        <x:v>Selected</x:v>
      </x:c>
      <x:c r="D141" s="18" t="str">
        <x:v>MKT-055</x:v>
      </x:c>
      <x:c r="E141" s="18" t="str">
        <x:v>One-location local launch plus partner prospecting; rates other than named subscriptions are allowances.</x:v>
      </x:c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48" customHeight="1">
      <x:c r="A142" s="1" t="str">
        <x:v>MKT-056</x:v>
      </x:c>
      <x:c r="B142" s="18" t="str">
        <x:v>Press/media outreach</x:v>
      </x:c>
      <x:c r="C142" s="18" t="str">
        <x:v>Selected</x:v>
      </x:c>
      <x:c r="D142" s="18" t="str">
        <x:v>MKT-056</x:v>
      </x:c>
      <x:c r="E142" s="18" t="str">
        <x:v>One-location local launch plus partner prospecting; rates other than named subscriptions are allowances.</x:v>
      </x:c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48" customHeight="1">
      <x:c r="A143" s="1" t="str">
        <x:v>MKT-057</x:v>
      </x:c>
      <x:c r="B143" s="18" t="str">
        <x:v>Press release and media kit</x:v>
      </x:c>
      <x:c r="C143" s="18" t="str">
        <x:v>Selected</x:v>
      </x:c>
      <x:c r="D143" s="18" t="str">
        <x:v>MKT-057</x:v>
      </x:c>
      <x:c r="E143" s="18" t="str">
        <x:v>One-location local launch plus partner prospecting; rates other than named subscriptions are allowances.</x:v>
      </x:c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48" customHeight="1">
      <x:c r="A144" s="1" t="str">
        <x:v>MKT-058</x:v>
      </x:c>
      <x:c r="B144" s="18" t="str">
        <x:v>Reputation and review response</x:v>
      </x:c>
      <x:c r="C144" s="18" t="str">
        <x:v>Selected</x:v>
      </x:c>
      <x:c r="D144" s="18" t="str">
        <x:v>MKT-058</x:v>
      </x:c>
      <x:c r="E144" s="18" t="str">
        <x:v>One-location local launch plus partner prospecting; rates other than named subscriptions are allowances.</x:v>
      </x:c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48" customHeight="1">
      <x:c r="A145" s="1" t="str">
        <x:v>MKT-059</x:v>
      </x:c>
      <x:c r="B145" s="18" t="str">
        <x:v>Funnel KPI dashboard</x:v>
      </x:c>
      <x:c r="C145" s="18" t="str">
        <x:v>Selected</x:v>
      </x:c>
      <x:c r="D145" s="18" t="str">
        <x:v>MKT-059</x:v>
      </x:c>
      <x:c r="E145" s="18" t="str">
        <x:v>One-location local launch plus partner prospecting; rates other than named subscriptions are allowances.</x:v>
      </x:c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48" customHeight="1">
      <x:c r="A146" s="1" t="str">
        <x:v>MKT-063</x:v>
      </x:c>
      <x:c r="B146" s="18" t="str">
        <x:v>Campaign postmortem</x:v>
      </x:c>
      <x:c r="C146" s="18" t="str">
        <x:v>Selected</x:v>
      </x:c>
      <x:c r="D146" s="18" t="str">
        <x:v>MKT-063</x:v>
      </x:c>
      <x:c r="E146" s="18" t="str">
        <x:v>One-location local launch plus partner prospecting; rates other than named subscriptions are allowances.</x:v>
      </x:c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48" customHeight="1">
      <x:c r="A147" s="1" t="str">
        <x:v>MKT-064</x:v>
      </x:c>
      <x:c r="B147" s="18" t="str">
        <x:v>Marketing consent and privacy review</x:v>
      </x:c>
      <x:c r="C147" s="18" t="str">
        <x:v>Selected</x:v>
      </x:c>
      <x:c r="D147" s="18" t="str">
        <x:v>MKT-064</x:v>
      </x:c>
      <x:c r="E147" s="18" t="str">
        <x:v>One-location local launch plus partner prospecting; rates other than named subscriptions are allowances.</x:v>
      </x:c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48" customHeight="1">
      <x:c r="A148" s="1" t="str">
        <x:v>MKT-065</x:v>
      </x:c>
      <x:c r="B148" s="18" t="str">
        <x:v>Photo/video model and property release management</x:v>
      </x:c>
      <x:c r="C148" s="18" t="str">
        <x:v>Selected</x:v>
      </x:c>
      <x:c r="D148" s="18" t="str">
        <x:v>MKT-065</x:v>
      </x:c>
      <x:c r="E148" s="18" t="str">
        <x:v>One-location local launch plus partner prospecting; rates other than named subscriptions are allowances.</x:v>
      </x:c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48" customHeight="1">
      <x:c r="A149" s="1" t="str">
        <x:v>MKT-066</x:v>
      </x:c>
      <x:c r="B149" s="18" t="str">
        <x:v>Claims and endorsement substantiation</x:v>
      </x:c>
      <x:c r="C149" s="18" t="str">
        <x:v>Selected</x:v>
      </x:c>
      <x:c r="D149" s="18" t="str">
        <x:v>MKT-066</x:v>
      </x:c>
      <x:c r="E149" s="18" t="str">
        <x:v>One-location local launch plus partner prospecting; rates other than named subscriptions are allowances.</x:v>
      </x:c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48" customHeight="1">
      <x:c r="A150" s="1" t="str">
        <x:v>MKT-008</x:v>
      </x:c>
      <x:c r="B150" s="18" t="str">
        <x:v>Brand strategist</x:v>
      </x:c>
      <x:c r="C150" s="18" t="str">
        <x:v>Covered elsewhere</x:v>
      </x:c>
      <x:c r="D150" s="18" t="str">
        <x:v>MKT-003</x:v>
      </x:c>
      <x:c r="E150" s="18" t="str">
        <x:v>Included in selected deliverable or retained hours. Newsletter send volume within selected tier; reassess if list grows.</x:v>
      </x:c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48" customHeight="1">
      <x:c r="A151" s="1" t="str">
        <x:v>MKT-009</x:v>
      </x:c>
      <x:c r="B151" s="18" t="str">
        <x:v>Copywriter</x:v>
      </x:c>
      <x:c r="C151" s="18" t="str">
        <x:v>Covered elsewhere</x:v>
      </x:c>
      <x:c r="D151" s="18" t="str">
        <x:v>MKT-026</x:v>
      </x:c>
      <x:c r="E151" s="18" t="str">
        <x:v>Included in selected deliverable or retained hours. Newsletter send volume within selected tier; reassess if list grows.</x:v>
      </x:c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48" customHeight="1">
      <x:c r="A152" s="1" t="str">
        <x:v>MKT-010</x:v>
      </x:c>
      <x:c r="B152" s="18" t="str">
        <x:v>Native Spanish copy editor/translator</x:v>
      </x:c>
      <x:c r="C152" s="18" t="str">
        <x:v>Covered elsewhere</x:v>
      </x:c>
      <x:c r="D152" s="18" t="str">
        <x:v>CNT-079</x:v>
      </x:c>
      <x:c r="E152" s="18" t="str">
        <x:v>Included in selected deliverable or retained hours. Newsletter send volume within selected tier; reassess if list grows.</x:v>
      </x:c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48" customHeight="1">
      <x:c r="A153" s="1" t="str">
        <x:v>MKT-011</x:v>
      </x:c>
      <x:c r="B153" s="18" t="str">
        <x:v>Graphic designer</x:v>
      </x:c>
      <x:c r="C153" s="18" t="str">
        <x:v>Covered elsewhere</x:v>
      </x:c>
      <x:c r="D153" s="18" t="str">
        <x:v>MKT-022</x:v>
      </x:c>
      <x:c r="E153" s="18" t="str">
        <x:v>Included in selected deliverable or retained hours. Newsletter send volume within selected tier; reassess if list grows.</x:v>
      </x:c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48" customHeight="1">
      <x:c r="A154" s="1" t="str">
        <x:v>MKT-013</x:v>
      </x:c>
      <x:c r="B154" s="18" t="str">
        <x:v>Video director/producer</x:v>
      </x:c>
      <x:c r="C154" s="18" t="str">
        <x:v>Covered elsewhere</x:v>
      </x:c>
      <x:c r="D154" s="18" t="str">
        <x:v>CNT-062</x:v>
      </x:c>
      <x:c r="E154" s="18" t="str">
        <x:v>Included in selected deliverable or retained hours. Newsletter send volume within selected tier; reassess if list grows.</x:v>
      </x:c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48" customHeight="1">
      <x:c r="A155" s="1" t="str">
        <x:v>MKT-014</x:v>
      </x:c>
      <x:c r="B155" s="18" t="str">
        <x:v>Video editor/motion designer</x:v>
      </x:c>
      <x:c r="C155" s="18" t="str">
        <x:v>Covered elsewhere</x:v>
      </x:c>
      <x:c r="D155" s="18" t="str">
        <x:v>CNT-063</x:v>
      </x:c>
      <x:c r="E155" s="18" t="str">
        <x:v>Included in selected deliverable or retained hours. Newsletter send volume within selected tier; reassess if list grows.</x:v>
      </x:c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48" customHeight="1">
      <x:c r="A156" s="1" t="str">
        <x:v>MKT-015</x:v>
      </x:c>
      <x:c r="B156" s="18" t="str">
        <x:v>Media buyer/performance marketer</x:v>
      </x:c>
      <x:c r="C156" s="18" t="str">
        <x:v>Covered elsewhere</x:v>
      </x:c>
      <x:c r="D156" s="18" t="str">
        <x:v>MKT-036</x:v>
      </x:c>
      <x:c r="E156" s="18" t="str">
        <x:v>Included in selected deliverable or retained hours. Newsletter send volume within selected tier; reassess if list grows.</x:v>
      </x:c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48" customHeight="1">
      <x:c r="A157" s="1" t="str">
        <x:v>MKT-028</x:v>
      </x:c>
      <x:c r="B157" s="18" t="str">
        <x:v>Partner demo request form</x:v>
      </x:c>
      <x:c r="C157" s="18" t="str">
        <x:v>Covered elsewhere</x:v>
      </x:c>
      <x:c r="D157" s="18" t="str">
        <x:v>PLA-039</x:v>
      </x:c>
      <x:c r="E157" s="18" t="str">
        <x:v>Included in selected deliverable or retained hours. Newsletter send volume within selected tier; reassess if list grows.</x:v>
      </x:c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48" customHeight="1">
      <x:c r="A158" s="1" t="str">
        <x:v>MKT-032</x:v>
      </x:c>
      <x:c r="B158" s="18" t="str">
        <x:v>Accessibility/content QA</x:v>
      </x:c>
      <x:c r="C158" s="18" t="str">
        <x:v>Covered elsewhere</x:v>
      </x:c>
      <x:c r="D158" s="18" t="str">
        <x:v>PLA-041</x:v>
      </x:c>
      <x:c r="E158" s="18" t="str">
        <x:v>Included in selected deliverable or retained hours. Newsletter send volume within selected tier; reassess if list grows.</x:v>
      </x:c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48" customHeight="1">
      <x:c r="A159" s="1" t="str">
        <x:v>MKT-037</x:v>
      </x:c>
      <x:c r="B159" s="18" t="str">
        <x:v>Creative testing reserve</x:v>
      </x:c>
      <x:c r="C159" s="18" t="str">
        <x:v>Covered elsewhere</x:v>
      </x:c>
      <x:c r="D159" s="18" t="str">
        <x:v>RES-002</x:v>
      </x:c>
      <x:c r="E159" s="18" t="str">
        <x:v>Included in selected deliverable or retained hours. Newsletter send volume within selected tier; reassess if list grows.</x:v>
      </x:c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48" customHeight="1">
      <x:c r="A160" s="1" t="str">
        <x:v>MKT-039</x:v>
      </x:c>
      <x:c r="B160" s="18" t="str">
        <x:v>Email send volume</x:v>
      </x:c>
      <x:c r="C160" s="18" t="str">
        <x:v>Covered elsewhere</x:v>
      </x:c>
      <x:c r="D160" s="18" t="str">
        <x:v>MKT-038</x:v>
      </x:c>
      <x:c r="E160" s="18" t="str">
        <x:v>Included in selected deliverable or retained hours. Newsletter send volume within selected tier; reassess if list grows.</x:v>
      </x:c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48" customHeight="1">
      <x:c r="A161" s="1" t="str">
        <x:v>MKT-040</x:v>
      </x:c>
      <x:c r="B161" s="18" t="str">
        <x:v>SMS messaging platform</x:v>
      </x:c>
      <x:c r="C161" s="18" t="str">
        <x:v>Covered elsewhere</x:v>
      </x:c>
      <x:c r="D161" s="18" t="str">
        <x:v>EXT-034</x:v>
      </x:c>
      <x:c r="E161" s="18" t="str">
        <x:v>Included in selected deliverable or retained hours. Newsletter send volume within selected tier; reassess if list grows.</x:v>
      </x:c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48" customHeight="1">
      <x:c r="A162" s="1" t="str">
        <x:v>MKT-060</x:v>
      </x:c>
      <x:c r="B162" s="18" t="str">
        <x:v>Lead response-time reporting</x:v>
      </x:c>
      <x:c r="C162" s="18" t="str">
        <x:v>Covered elsewhere</x:v>
      </x:c>
      <x:c r="D162" s="18" t="str">
        <x:v>MKT-059</x:v>
      </x:c>
      <x:c r="E162" s="18" t="str">
        <x:v>Included in selected deliverable or retained hours. Newsletter send volume within selected tier; reassess if list grows.</x:v>
      </x:c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48" customHeight="1">
      <x:c r="A163" s="1" t="str">
        <x:v>MKT-061</x:v>
      </x:c>
      <x:c r="B163" s="18" t="str">
        <x:v>Customer acquisition cost report</x:v>
      </x:c>
      <x:c r="C163" s="18" t="str">
        <x:v>Covered elsewhere</x:v>
      </x:c>
      <x:c r="D163" s="18" t="str">
        <x:v>MKT-059</x:v>
      </x:c>
      <x:c r="E163" s="18" t="str">
        <x:v>Included in selected deliverable or retained hours. Newsletter send volume within selected tier; reassess if list grows.</x:v>
      </x:c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48" customHeight="1">
      <x:c r="A164" s="1" t="str">
        <x:v>MKT-062</x:v>
      </x:c>
      <x:c r="B164" s="18" t="str">
        <x:v>Partner payback and retention report</x:v>
      </x:c>
      <x:c r="C164" s="18" t="str">
        <x:v>Covered elsewhere</x:v>
      </x:c>
      <x:c r="D164" s="18" t="str">
        <x:v>MKT-059</x:v>
      </x:c>
      <x:c r="E164" s="18" t="str">
        <x:v>Included in selected deliverable or retained hours. Newsletter send volume within selected tier; reassess if list grows.</x:v>
      </x:c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48" customHeight="1">
      <x:c r="A165" s="1" t="str">
        <x:v>MKT-067</x:v>
      </x:c>
      <x:c r="B165" s="18" t="str">
        <x:v>Marketing asset storage and backup</x:v>
      </x:c>
      <x:c r="C165" s="18" t="str">
        <x:v>Covered elsewhere</x:v>
      </x:c>
      <x:c r="D165" s="18" t="str">
        <x:v>EXT-014</x:v>
      </x:c>
      <x:c r="E165" s="18" t="str">
        <x:v>Included in selected deliverable or retained hours. Newsletter send volume within selected tier; reassess if list grows.</x:v>
      </x:c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48" customHeight="1">
      <x:c r="A166" s="1" t="str">
        <x:v>MKT-068</x:v>
      </x:c>
      <x:c r="B166" s="18" t="str">
        <x:v>Brand and campaign approval meeting</x:v>
      </x:c>
      <x:c r="C166" s="18" t="str">
        <x:v>Covered elsewhere</x:v>
      </x:c>
      <x:c r="D166" s="18" t="str">
        <x:v>MKT-007</x:v>
      </x:c>
      <x:c r="E166" s="18" t="str">
        <x:v>Included in selected deliverable or retained hours. Newsletter send volume within selected tier; reassess if list grows.</x:v>
      </x:c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48" customHeight="1">
      <x:c r="A167" s="1" t="str">
        <x:v>MKT-050</x:v>
      </x:c>
      <x:c r="B167" s="18" t="str">
        <x:v>Sales commission or referral fee</x:v>
      </x:c>
      <x:c r="C167" s="18" t="str">
        <x:v>Outside selected scenario</x:v>
      </x:c>
      <x:c r="D167" s="18" t="str"/>
      <x:c r="E167" s="18" t="str">
        <x:v>No commission agreement or paid partner contract assumed. Commission must be added when contracted, not invented as an expense.</x:v>
      </x:c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48" customHeight="1">
      <x:c r="A168" s="1" t="str">
        <x:v>OPS-019</x:v>
      </x:c>
      <x:c r="B168" s="18" t="str">
        <x:v>Background check fee</x:v>
      </x:c>
      <x:c r="C168" s="18" t="str">
        <x:v>Selected</x:v>
      </x:c>
      <x:c r="D168" s="18" t="str">
        <x:v>OPS-019</x:v>
      </x:c>
      <x:c r="E168" s="18" t="str">
        <x:v>One-site first-year planning quantity; allowance unless source explicitly states rate.</x:v>
      </x:c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48" customHeight="1">
      <x:c r="A169" s="1" t="str">
        <x:v>OPS-020</x:v>
      </x:c>
      <x:c r="B169" s="18" t="str">
        <x:v>First aid/CPR training fee</x:v>
      </x:c>
      <x:c r="C169" s="18" t="str">
        <x:v>Selected</x:v>
      </x:c>
      <x:c r="D169" s="18" t="str">
        <x:v>OPS-020</x:v>
      </x:c>
      <x:c r="E169" s="18" t="str">
        <x:v>One-site first-year planning quantity; allowance unless source explicitly states rate.</x:v>
      </x:c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48" customHeight="1">
      <x:c r="A170" s="1" t="str">
        <x:v>OPS-021</x:v>
      </x:c>
      <x:c r="B170" s="18" t="str">
        <x:v>Recruiting advertising</x:v>
      </x:c>
      <x:c r="C170" s="18" t="str">
        <x:v>Selected</x:v>
      </x:c>
      <x:c r="D170" s="18" t="str">
        <x:v>OPS-021</x:v>
      </x:c>
      <x:c r="E170" s="18" t="str">
        <x:v>One-site first-year planning quantity; allowance unless source explicitly states rate.</x:v>
      </x:c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48" customHeight="1">
      <x:c r="A171" s="1" t="str">
        <x:v>OPS-025</x:v>
      </x:c>
      <x:c r="B171" s="18" t="str">
        <x:v>Payroll processing fee</x:v>
      </x:c>
      <x:c r="C171" s="18" t="str">
        <x:v>Selected</x:v>
      </x:c>
      <x:c r="D171" s="18" t="str">
        <x:v>OPS-025</x:v>
      </x:c>
      <x:c r="E171" s="18" t="str">
        <x:v>One operating site; actual contract/quotes replace allowances. Payroll Simple 49+6×15=139/month.</x:v>
      </x:c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48" customHeight="1">
      <x:c r="A172" s="1" t="str">
        <x:v>OPS-027</x:v>
      </x:c>
      <x:c r="B172" s="18" t="str">
        <x:v>Staff handbook update</x:v>
      </x:c>
      <x:c r="C172" s="18" t="str">
        <x:v>Selected</x:v>
      </x:c>
      <x:c r="D172" s="18" t="str">
        <x:v>OPS-027</x:v>
      </x:c>
      <x:c r="E172" s="18" t="str">
        <x:v>One-site first-year planning quantity; allowance unless source explicitly states rate.</x:v>
      </x:c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48" customHeight="1">
      <x:c r="A173" s="1" t="str">
        <x:v>OPS-028</x:v>
      </x:c>
      <x:c r="B173" s="18" t="str">
        <x:v>Milk</x:v>
      </x:c>
      <x:c r="C173" s="18" t="str">
        <x:v>Selected</x:v>
      </x:c>
      <x:c r="D173" s="18" t="str">
        <x:v>OPS-028</x:v>
      </x:c>
      <x:c r="E173" s="18" t="str">
        <x:v>40 children × 260 days = 10,400 child-days. Supplies/equipment assume purchase until physical inventory is reconciled.</x:v>
      </x:c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48" customHeight="1">
      <x:c r="A174" s="1" t="str">
        <x:v>OPS-029</x:v>
      </x:c>
      <x:c r="B174" s="18" t="str">
        <x:v>Fresh fruit</x:v>
      </x:c>
      <x:c r="C174" s="18" t="str">
        <x:v>Selected</x:v>
      </x:c>
      <x:c r="D174" s="18" t="str">
        <x:v>OPS-029</x:v>
      </x:c>
      <x:c r="E174" s="18" t="str">
        <x:v>40 children × 260 days = 10,400 child-days. Supplies/equipment assume purchase until physical inventory is reconciled.</x:v>
      </x:c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48" customHeight="1">
      <x:c r="A175" s="1" t="str">
        <x:v>OPS-030</x:v>
      </x:c>
      <x:c r="B175" s="18" t="str">
        <x:v>Fresh vegetables</x:v>
      </x:c>
      <x:c r="C175" s="18" t="str">
        <x:v>Selected</x:v>
      </x:c>
      <x:c r="D175" s="18" t="str">
        <x:v>OPS-030</x:v>
      </x:c>
      <x:c r="E175" s="18" t="str">
        <x:v>40 children × 260 days = 10,400 child-days. Supplies/equipment assume purchase until physical inventory is reconciled.</x:v>
      </x:c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48" customHeight="1">
      <x:c r="A176" s="1" t="str">
        <x:v>OPS-031</x:v>
      </x:c>
      <x:c r="B176" s="18" t="str">
        <x:v>Protein</x:v>
      </x:c>
      <x:c r="C176" s="18" t="str">
        <x:v>Selected</x:v>
      </x:c>
      <x:c r="D176" s="18" t="str">
        <x:v>OPS-031</x:v>
      </x:c>
      <x:c r="E176" s="18" t="str">
        <x:v>40 children × 260 days = 10,400 child-days. Supplies/equipment assume purchase until physical inventory is reconciled.</x:v>
      </x:c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48" customHeight="1">
      <x:c r="A177" s="1" t="str">
        <x:v>OPS-032</x:v>
      </x:c>
      <x:c r="B177" s="18" t="str">
        <x:v>Grains</x:v>
      </x:c>
      <x:c r="C177" s="18" t="str">
        <x:v>Selected</x:v>
      </x:c>
      <x:c r="D177" s="18" t="str">
        <x:v>OPS-032</x:v>
      </x:c>
      <x:c r="E177" s="18" t="str">
        <x:v>40 children × 260 days = 10,400 child-days. Supplies/equipment assume purchase until physical inventory is reconciled.</x:v>
      </x:c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48" customHeight="1">
      <x:c r="A178" s="1" t="str">
        <x:v>OPS-033</x:v>
      </x:c>
      <x:c r="B178" s="18" t="str">
        <x:v>Allergy-safe ingredients</x:v>
      </x:c>
      <x:c r="C178" s="18" t="str">
        <x:v>Selected</x:v>
      </x:c>
      <x:c r="D178" s="18" t="str">
        <x:v>OPS-033</x:v>
      </x:c>
      <x:c r="E178" s="18" t="str">
        <x:v>40 children × 260 days = 10,400 child-days. Supplies/equipment assume purchase until physical inventory is reconciled.</x:v>
      </x:c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48" customHeight="1">
      <x:c r="A179" s="1" t="str">
        <x:v>OPS-034</x:v>
      </x:c>
      <x:c r="B179" s="18" t="str">
        <x:v>Special-diet supplies</x:v>
      </x:c>
      <x:c r="C179" s="18" t="str">
        <x:v>Selected</x:v>
      </x:c>
      <x:c r="D179" s="18" t="str">
        <x:v>OPS-034</x:v>
      </x:c>
      <x:c r="E179" s="18" t="str">
        <x:v>40 children × 260 days = 10,400 child-days. Supplies/equipment assume purchase until physical inventory is reconciled.</x:v>
      </x:c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48" customHeight="1">
      <x:c r="A180" s="1" t="str">
        <x:v>OPS-035</x:v>
      </x:c>
      <x:c r="B180" s="18" t="str">
        <x:v>Meal service disposables</x:v>
      </x:c>
      <x:c r="C180" s="18" t="str">
        <x:v>Selected</x:v>
      </x:c>
      <x:c r="D180" s="18" t="str">
        <x:v>OPS-035</x:v>
      </x:c>
      <x:c r="E180" s="18" t="str">
        <x:v>40 children × 260 days = 10,400 child-days. Supplies/equipment assume purchase until physical inventory is reconciled.</x:v>
      </x:c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48" customHeight="1">
      <x:c r="A181" s="1" t="str">
        <x:v>OPS-036</x:v>
      </x:c>
      <x:c r="B181" s="18" t="str">
        <x:v>Food storage containers</x:v>
      </x:c>
      <x:c r="C181" s="18" t="str">
        <x:v>Selected</x:v>
      </x:c>
      <x:c r="D181" s="18" t="str">
        <x:v>OPS-036</x:v>
      </x:c>
      <x:c r="E181" s="18" t="str">
        <x:v>40 children × 260 days = 10,400 child-days. Supplies/equipment assume purchase until physical inventory is reconciled.</x:v>
      </x:c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48" customHeight="1">
      <x:c r="A182" s="1" t="str">
        <x:v>OPS-037</x:v>
      </x:c>
      <x:c r="B182" s="18" t="str">
        <x:v>Food waste and spoilage</x:v>
      </x:c>
      <x:c r="C182" s="18" t="str">
        <x:v>Selected</x:v>
      </x:c>
      <x:c r="D182" s="18" t="str">
        <x:v>OPS-037</x:v>
      </x:c>
      <x:c r="E182" s="18" t="str">
        <x:v>40 children × 260 days = 10,400 child-days. Supplies/equipment assume purchase until physical inventory is reconciled.</x:v>
      </x:c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48" customHeight="1">
      <x:c r="A183" s="1" t="str">
        <x:v>OPS-038</x:v>
      </x:c>
      <x:c r="B183" s="18" t="str">
        <x:v>Menu development</x:v>
      </x:c>
      <x:c r="C183" s="18" t="str">
        <x:v>Selected</x:v>
      </x:c>
      <x:c r="D183" s="18" t="str">
        <x:v>OPS-038</x:v>
      </x:c>
      <x:c r="E183" s="18" t="str">
        <x:v>One-site first-year planning quantity; allowance unless source explicitly states rate.</x:v>
      </x:c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48" customHeight="1">
      <x:c r="A184" s="1" t="str">
        <x:v>OPS-039</x:v>
      </x:c>
      <x:c r="B184" s="18" t="str">
        <x:v>Kitchen equipment service</x:v>
      </x:c>
      <x:c r="C184" s="18" t="str">
        <x:v>Selected</x:v>
      </x:c>
      <x:c r="D184" s="18" t="str">
        <x:v>OPS-039</x:v>
      </x:c>
      <x:c r="E184" s="18" t="str">
        <x:v>One-site first-year planning quantity; allowance unless source explicitly states rate.</x:v>
      </x:c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48" customHeight="1">
      <x:c r="A185" s="1" t="str">
        <x:v>OPS-040</x:v>
      </x:c>
      <x:c r="B185" s="18" t="str">
        <x:v>Refrigerator maintenance</x:v>
      </x:c>
      <x:c r="C185" s="18" t="str">
        <x:v>Selected</x:v>
      </x:c>
      <x:c r="D185" s="18" t="str">
        <x:v>OPS-040</x:v>
      </x:c>
      <x:c r="E185" s="18" t="str">
        <x:v>One-site first-year planning quantity; allowance unless source explicitly states rate.</x:v>
      </x:c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48" customHeight="1">
      <x:c r="A186" s="1" t="str">
        <x:v>OPS-041</x:v>
      </x:c>
      <x:c r="B186" s="18" t="str">
        <x:v>Freezer maintenance</x:v>
      </x:c>
      <x:c r="C186" s="18" t="str">
        <x:v>Selected</x:v>
      </x:c>
      <x:c r="D186" s="18" t="str">
        <x:v>OPS-041</x:v>
      </x:c>
      <x:c r="E186" s="18" t="str">
        <x:v>One-site first-year planning quantity; allowance unless source explicitly states rate.</x:v>
      </x:c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48" customHeight="1">
      <x:c r="A187" s="1" t="str">
        <x:v>OPS-042</x:v>
      </x:c>
      <x:c r="B187" s="18" t="str">
        <x:v>Dishwashing supplies</x:v>
      </x:c>
      <x:c r="C187" s="18" t="str">
        <x:v>Selected</x:v>
      </x:c>
      <x:c r="D187" s="18" t="str">
        <x:v>OPS-042</x:v>
      </x:c>
      <x:c r="E187" s="18" t="str">
        <x:v>One-site first-year planning quantity; allowance unless source explicitly states rate.</x:v>
      </x:c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48" customHeight="1">
      <x:c r="A188" s="1" t="str">
        <x:v>OPS-043</x:v>
      </x:c>
      <x:c r="B188" s="18" t="str">
        <x:v>Gloves</x:v>
      </x:c>
      <x:c r="C188" s="18" t="str">
        <x:v>Selected</x:v>
      </x:c>
      <x:c r="D188" s="18" t="str">
        <x:v>OPS-043</x:v>
      </x:c>
      <x:c r="E188" s="18" t="str">
        <x:v>One-site first-year planning quantity; allowance unless source explicitly states rate.</x:v>
      </x:c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48" customHeight="1">
      <x:c r="A189" s="1" t="str">
        <x:v>OPS-044</x:v>
      </x:c>
      <x:c r="B189" s="18" t="str">
        <x:v>Aprons</x:v>
      </x:c>
      <x:c r="C189" s="18" t="str">
        <x:v>Selected</x:v>
      </x:c>
      <x:c r="D189" s="18" t="str">
        <x:v>OPS-044</x:v>
      </x:c>
      <x:c r="E189" s="18" t="str">
        <x:v>One-site first-year planning quantity; allowance unless source explicitly states rate.</x:v>
      </x:c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48" customHeight="1">
      <x:c r="A190" s="1" t="str">
        <x:v>OPS-045</x:v>
      </x:c>
      <x:c r="B190" s="18" t="str">
        <x:v>Nutrition labeling</x:v>
      </x:c>
      <x:c r="C190" s="18" t="str">
        <x:v>Selected</x:v>
      </x:c>
      <x:c r="D190" s="18" t="str">
        <x:v>OPS-045</x:v>
      </x:c>
      <x:c r="E190" s="18" t="str">
        <x:v>One-site first-year planning quantity; allowance unless source explicitly states rate.</x:v>
      </x:c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48" customHeight="1">
      <x:c r="A191" s="1" t="str">
        <x:v>OPS-046</x:v>
      </x:c>
      <x:c r="B191" s="18" t="str">
        <x:v>Base lease</x:v>
      </x:c>
      <x:c r="C191" s="18" t="str">
        <x:v>Selected</x:v>
      </x:c>
      <x:c r="D191" s="18" t="str">
        <x:v>OPS-046</x:v>
      </x:c>
      <x:c r="E191" s="18" t="str">
        <x:v>One-site first-year planning quantity; allowance unless source explicitly states rate.</x:v>
      </x:c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48" customHeight="1">
      <x:c r="A192" s="1" t="str">
        <x:v>OPS-047</x:v>
      </x:c>
      <x:c r="B192" s="18" t="str">
        <x:v>Security deposit</x:v>
      </x:c>
      <x:c r="C192" s="18" t="str">
        <x:v>Selected</x:v>
      </x:c>
      <x:c r="D192" s="18" t="str">
        <x:v>OPS-047</x:v>
      </x:c>
      <x:c r="E192" s="18" t="str">
        <x:v>One-site first-year planning quantity; allowance unless source explicitly states rate.</x:v>
      </x:c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48" customHeight="1">
      <x:c r="A193" s="1" t="str">
        <x:v>OPS-049</x:v>
      </x:c>
      <x:c r="B193" s="18" t="str">
        <x:v>Electricity</x:v>
      </x:c>
      <x:c r="C193" s="18" t="str">
        <x:v>Selected</x:v>
      </x:c>
      <x:c r="D193" s="18" t="str">
        <x:v>OPS-049</x:v>
      </x:c>
      <x:c r="E193" s="18" t="str">
        <x:v>One-site first-year planning quantity; allowance unless source explicitly states rate.</x:v>
      </x:c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48" customHeight="1">
      <x:c r="A194" s="1" t="str">
        <x:v>OPS-050</x:v>
      </x:c>
      <x:c r="B194" s="18" t="str">
        <x:v>Natural gas</x:v>
      </x:c>
      <x:c r="C194" s="18" t="str">
        <x:v>Selected</x:v>
      </x:c>
      <x:c r="D194" s="18" t="str">
        <x:v>OPS-050</x:v>
      </x:c>
      <x:c r="E194" s="18" t="str">
        <x:v>One-site first-year planning quantity; allowance unless source explicitly states rate.</x:v>
      </x:c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48" customHeight="1">
      <x:c r="A195" s="1" t="str">
        <x:v>OPS-051</x:v>
      </x:c>
      <x:c r="B195" s="18" t="str">
        <x:v>Water and sewer</x:v>
      </x:c>
      <x:c r="C195" s="18" t="str">
        <x:v>Selected</x:v>
      </x:c>
      <x:c r="D195" s="18" t="str">
        <x:v>OPS-051</x:v>
      </x:c>
      <x:c r="E195" s="18" t="str">
        <x:v>One-site first-year planning quantity; allowance unless source explicitly states rate.</x:v>
      </x:c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48" customHeight="1">
      <x:c r="A196" s="1" t="str">
        <x:v>OPS-052</x:v>
      </x:c>
      <x:c r="B196" s="18" t="str">
        <x:v>Internet service</x:v>
      </x:c>
      <x:c r="C196" s="18" t="str">
        <x:v>Selected</x:v>
      </x:c>
      <x:c r="D196" s="18" t="str">
        <x:v>OPS-052</x:v>
      </x:c>
      <x:c r="E196" s="18" t="str">
        <x:v>One-site first-year planning quantity; allowance unless source explicitly states rate.</x:v>
      </x:c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48" customHeight="1">
      <x:c r="A197" s="1" t="str">
        <x:v>OPS-053</x:v>
      </x:c>
      <x:c r="B197" s="18" t="str">
        <x:v>Mobile phone service</x:v>
      </x:c>
      <x:c r="C197" s="18" t="str">
        <x:v>Selected</x:v>
      </x:c>
      <x:c r="D197" s="18" t="str">
        <x:v>OPS-053</x:v>
      </x:c>
      <x:c r="E197" s="18" t="str">
        <x:v>One-site first-year planning quantity; allowance unless source explicitly states rate.</x:v>
      </x:c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48" customHeight="1">
      <x:c r="A198" s="1" t="str">
        <x:v>OPS-054</x:v>
      </x:c>
      <x:c r="B198" s="18" t="str">
        <x:v>HVAC maintenance</x:v>
      </x:c>
      <x:c r="C198" s="18" t="str">
        <x:v>Selected</x:v>
      </x:c>
      <x:c r="D198" s="18" t="str">
        <x:v>OPS-054</x:v>
      </x:c>
      <x:c r="E198" s="18" t="str">
        <x:v>One-site first-year planning quantity; allowance unless source explicitly states rate.</x:v>
      </x:c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48" customHeight="1">
      <x:c r="A199" s="1" t="str">
        <x:v>OPS-055</x:v>
      </x:c>
      <x:c r="B199" s="18" t="str">
        <x:v>Plumbing maintenance</x:v>
      </x:c>
      <x:c r="C199" s="18" t="str">
        <x:v>Selected</x:v>
      </x:c>
      <x:c r="D199" s="18" t="str">
        <x:v>OPS-055</x:v>
      </x:c>
      <x:c r="E199" s="18" t="str">
        <x:v>One-site first-year planning quantity; allowance unless source explicitly states rate.</x:v>
      </x:c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48" customHeight="1">
      <x:c r="A200" s="1" t="str">
        <x:v>OPS-056</x:v>
      </x:c>
      <x:c r="B200" s="18" t="str">
        <x:v>Electrical maintenance</x:v>
      </x:c>
      <x:c r="C200" s="18" t="str">
        <x:v>Selected</x:v>
      </x:c>
      <x:c r="D200" s="18" t="str">
        <x:v>OPS-056</x:v>
      </x:c>
      <x:c r="E200" s="18" t="str">
        <x:v>One-site first-year planning quantity; allowance unless source explicitly states rate.</x:v>
      </x:c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48" customHeight="1">
      <x:c r="A201" s="1" t="str">
        <x:v>OPS-057</x:v>
      </x:c>
      <x:c r="B201" s="18" t="str">
        <x:v>Pest control</x:v>
      </x:c>
      <x:c r="C201" s="18" t="str">
        <x:v>Selected</x:v>
      </x:c>
      <x:c r="D201" s="18" t="str">
        <x:v>OPS-057</x:v>
      </x:c>
      <x:c r="E201" s="18" t="str">
        <x:v>One-site first-year planning quantity; allowance unless source explicitly states rate.</x:v>
      </x:c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48" customHeight="1">
      <x:c r="A202" s="1" t="str">
        <x:v>OPS-058</x:v>
      </x:c>
      <x:c r="B202" s="18" t="str">
        <x:v>Trash and recycling</x:v>
      </x:c>
      <x:c r="C202" s="18" t="str">
        <x:v>Selected</x:v>
      </x:c>
      <x:c r="D202" s="18" t="str">
        <x:v>OPS-058</x:v>
      </x:c>
      <x:c r="E202" s="18" t="str">
        <x:v>One-site first-year planning quantity; allowance unless source explicitly states rate.</x:v>
      </x:c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48" customHeight="1">
      <x:c r="A203" s="1" t="str">
        <x:v>OPS-059</x:v>
      </x:c>
      <x:c r="B203" s="18" t="str">
        <x:v>General liability insurance</x:v>
      </x:c>
      <x:c r="C203" s="18" t="str">
        <x:v>Selected</x:v>
      </x:c>
      <x:c r="D203" s="18" t="str">
        <x:v>OPS-059</x:v>
      </x:c>
      <x:c r="E203" s="18" t="str">
        <x:v>One-site first-year planning quantity; allowance unless source explicitly states rate.</x:v>
      </x:c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48" customHeight="1">
      <x:c r="A204" s="1" t="str">
        <x:v>OPS-060</x:v>
      </x:c>
      <x:c r="B204" s="18" t="str">
        <x:v>Property insurance</x:v>
      </x:c>
      <x:c r="C204" s="18" t="str">
        <x:v>Selected</x:v>
      </x:c>
      <x:c r="D204" s="18" t="str">
        <x:v>OPS-060</x:v>
      </x:c>
      <x:c r="E204" s="18" t="str">
        <x:v>One-site first-year planning quantity; allowance unless source explicitly states rate.</x:v>
      </x:c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48" customHeight="1">
      <x:c r="A205" s="1" t="str">
        <x:v>OPS-061</x:v>
      </x:c>
      <x:c r="B205" s="18" t="str">
        <x:v>Umbrella insurance</x:v>
      </x:c>
      <x:c r="C205" s="18" t="str">
        <x:v>Selected</x:v>
      </x:c>
      <x:c r="D205" s="18" t="str">
        <x:v>OPS-061</x:v>
      </x:c>
      <x:c r="E205" s="18" t="str">
        <x:v>One-site first-year planning quantity; allowance unless source explicitly states rate.</x:v>
      </x:c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48" customHeight="1">
      <x:c r="A206" s="1" t="str">
        <x:v>OPS-062</x:v>
      </x:c>
      <x:c r="B206" s="18" t="str">
        <x:v>Business interruption insurance</x:v>
      </x:c>
      <x:c r="C206" s="18" t="str">
        <x:v>Selected</x:v>
      </x:c>
      <x:c r="D206" s="18" t="str">
        <x:v>OPS-062</x:v>
      </x:c>
      <x:c r="E206" s="18" t="str">
        <x:v>One-site first-year planning quantity; allowance unless source explicitly states rate.</x:v>
      </x:c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48" customHeight="1">
      <x:c r="A207" s="1" t="str">
        <x:v>OPS-064</x:v>
      </x:c>
      <x:c r="B207" s="18" t="str">
        <x:v>Deep cleaning</x:v>
      </x:c>
      <x:c r="C207" s="18" t="str">
        <x:v>Selected</x:v>
      </x:c>
      <x:c r="D207" s="18" t="str">
        <x:v>OPS-064</x:v>
      </x:c>
      <x:c r="E207" s="18" t="str">
        <x:v>One-site first-year planning quantity; allowance unless source explicitly states rate.</x:v>
      </x:c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48" customHeight="1">
      <x:c r="A208" s="1" t="str">
        <x:v>OPS-065</x:v>
      </x:c>
      <x:c r="B208" s="18" t="str">
        <x:v>Sanitizer</x:v>
      </x:c>
      <x:c r="C208" s="18" t="str">
        <x:v>Selected</x:v>
      </x:c>
      <x:c r="D208" s="18" t="str">
        <x:v>OPS-065</x:v>
      </x:c>
      <x:c r="E208" s="18" t="str">
        <x:v>One-site first-year planning quantity; allowance unless source explicitly states rate.</x:v>
      </x:c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48" customHeight="1">
      <x:c r="A209" s="1" t="str">
        <x:v>OPS-066</x:v>
      </x:c>
      <x:c r="B209" s="18" t="str">
        <x:v>Paper towels</x:v>
      </x:c>
      <x:c r="C209" s="18" t="str">
        <x:v>Selected</x:v>
      </x:c>
      <x:c r="D209" s="18" t="str">
        <x:v>OPS-066</x:v>
      </x:c>
      <x:c r="E209" s="18" t="str">
        <x:v>One-site first-year planning quantity; allowance unless source explicitly states rate.</x:v>
      </x:c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48" customHeight="1">
      <x:c r="A210" s="1" t="str">
        <x:v>OPS-067</x:v>
      </x:c>
      <x:c r="B210" s="18" t="str">
        <x:v>Toilet paper</x:v>
      </x:c>
      <x:c r="C210" s="18" t="str">
        <x:v>Selected</x:v>
      </x:c>
      <x:c r="D210" s="18" t="str">
        <x:v>OPS-067</x:v>
      </x:c>
      <x:c r="E210" s="18" t="str">
        <x:v>One-site first-year planning quantity; allowance unless source explicitly states rate.</x:v>
      </x:c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48" customHeight="1">
      <x:c r="A211" s="1" t="str">
        <x:v>OPS-068</x:v>
      </x:c>
      <x:c r="B211" s="18" t="str">
        <x:v>Hand soap</x:v>
      </x:c>
      <x:c r="C211" s="18" t="str">
        <x:v>Selected</x:v>
      </x:c>
      <x:c r="D211" s="18" t="str">
        <x:v>OPS-068</x:v>
      </x:c>
      <x:c r="E211" s="18" t="str">
        <x:v>One-site first-year planning quantity; allowance unless source explicitly states rate.</x:v>
      </x:c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48" customHeight="1">
      <x:c r="A212" s="1" t="str">
        <x:v>OPS-069</x:v>
      </x:c>
      <x:c r="B212" s="18" t="str">
        <x:v>Laundry service or supplies</x:v>
      </x:c>
      <x:c r="C212" s="18" t="str">
        <x:v>Selected</x:v>
      </x:c>
      <x:c r="D212" s="18" t="str">
        <x:v>OPS-069</x:v>
      </x:c>
      <x:c r="E212" s="18" t="str">
        <x:v>One-site first-year planning quantity; allowance unless source explicitly states rate.</x:v>
      </x:c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48" customHeight="1">
      <x:c r="A213" s="1" t="str">
        <x:v>OPS-070</x:v>
      </x:c>
      <x:c r="B213" s="18" t="str">
        <x:v>Alarm monitoring</x:v>
      </x:c>
      <x:c r="C213" s="18" t="str">
        <x:v>Selected</x:v>
      </x:c>
      <x:c r="D213" s="18" t="str">
        <x:v>OPS-070</x:v>
      </x:c>
      <x:c r="E213" s="18" t="str">
        <x:v>One-site first-year planning quantity; allowance unless source explicitly states rate.</x:v>
      </x:c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48" customHeight="1">
      <x:c r="A214" s="1" t="str">
        <x:v>OPS-071</x:v>
      </x:c>
      <x:c r="B214" s="18" t="str">
        <x:v>Snow removal</x:v>
      </x:c>
      <x:c r="C214" s="18" t="str">
        <x:v>Selected</x:v>
      </x:c>
      <x:c r="D214" s="18" t="str">
        <x:v>OPS-071</x:v>
      </x:c>
      <x:c r="E214" s="18" t="str">
        <x:v>One-site first-year planning quantity; allowance unless source explicitly states rate.</x:v>
      </x:c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48" customHeight="1">
      <x:c r="A215" s="1" t="str">
        <x:v>OPS-072</x:v>
      </x:c>
      <x:c r="B215" s="18" t="str">
        <x:v>Lawn care</x:v>
      </x:c>
      <x:c r="C215" s="18" t="str">
        <x:v>Selected</x:v>
      </x:c>
      <x:c r="D215" s="18" t="str">
        <x:v>OPS-072</x:v>
      </x:c>
      <x:c r="E215" s="18" t="str">
        <x:v>One-site first-year planning quantity; allowance unless source explicitly states rate.</x:v>
      </x:c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48" customHeight="1">
      <x:c r="A216" s="1" t="str">
        <x:v>OPS-073</x:v>
      </x:c>
      <x:c r="B216" s="18" t="str">
        <x:v>Parking maintenance</x:v>
      </x:c>
      <x:c r="C216" s="18" t="str">
        <x:v>Selected</x:v>
      </x:c>
      <x:c r="D216" s="18" t="str">
        <x:v>OPS-073</x:v>
      </x:c>
      <x:c r="E216" s="18" t="str">
        <x:v>One-site first-year planning quantity; allowance unless source explicitly states rate.</x:v>
      </x:c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48" customHeight="1">
      <x:c r="A217" s="1" t="str">
        <x:v>OPS-075</x:v>
      </x:c>
      <x:c r="B217" s="18" t="str">
        <x:v>First aid kits</x:v>
      </x:c>
      <x:c r="C217" s="18" t="str">
        <x:v>Selected</x:v>
      </x:c>
      <x:c r="D217" s="18" t="str">
        <x:v>OPS-075</x:v>
      </x:c>
      <x:c r="E217" s="18" t="str">
        <x:v>One-site first-year planning quantity; allowance unless source explicitly states rate.</x:v>
      </x:c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48" customHeight="1">
      <x:c r="A218" s="1" t="str">
        <x:v>OPS-076</x:v>
      </x:c>
      <x:c r="B218" s="18" t="str">
        <x:v>First aid replenishment</x:v>
      </x:c>
      <x:c r="C218" s="18" t="str">
        <x:v>Selected</x:v>
      </x:c>
      <x:c r="D218" s="18" t="str">
        <x:v>OPS-076</x:v>
      </x:c>
      <x:c r="E218" s="18" t="str">
        <x:v>One-site first-year planning quantity; allowance unless source explicitly states rate.</x:v>
      </x:c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48" customHeight="1">
      <x:c r="A219" s="1" t="str">
        <x:v>OPS-077</x:v>
      </x:c>
      <x:c r="B219" s="18" t="str">
        <x:v>Fire extinguisher inspection</x:v>
      </x:c>
      <x:c r="C219" s="18" t="str">
        <x:v>Selected</x:v>
      </x:c>
      <x:c r="D219" s="18" t="str">
        <x:v>OPS-077</x:v>
      </x:c>
      <x:c r="E219" s="18" t="str">
        <x:v>One-site first-year planning quantity; allowance unless source explicitly states rate.</x:v>
      </x:c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48" customHeight="1">
      <x:c r="A220" s="1" t="str">
        <x:v>OPS-078</x:v>
      </x:c>
      <x:c r="B220" s="18" t="str">
        <x:v>Smoke detectors</x:v>
      </x:c>
      <x:c r="C220" s="18" t="str">
        <x:v>Selected</x:v>
      </x:c>
      <x:c r="D220" s="18" t="str">
        <x:v>OPS-078</x:v>
      </x:c>
      <x:c r="E220" s="18" t="str">
        <x:v>One-site first-year planning quantity; allowance unless source explicitly states rate.</x:v>
      </x:c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48" customHeight="1">
      <x:c r="A221" s="1" t="str">
        <x:v>OPS-079</x:v>
      </x:c>
      <x:c r="B221" s="18" t="str">
        <x:v>Carbon monoxide detectors</x:v>
      </x:c>
      <x:c r="C221" s="18" t="str">
        <x:v>Selected</x:v>
      </x:c>
      <x:c r="D221" s="18" t="str">
        <x:v>OPS-079</x:v>
      </x:c>
      <x:c r="E221" s="18" t="str">
        <x:v>One-site first-year planning quantity; allowance unless source explicitly states rate.</x:v>
      </x:c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48" customHeight="1">
      <x:c r="A222" s="1" t="str">
        <x:v>OPS-080</x:v>
      </x:c>
      <x:c r="B222" s="18" t="str">
        <x:v>Emergency lighting</x:v>
      </x:c>
      <x:c r="C222" s="18" t="str">
        <x:v>Selected</x:v>
      </x:c>
      <x:c r="D222" s="18" t="str">
        <x:v>OPS-080</x:v>
      </x:c>
      <x:c r="E222" s="18" t="str">
        <x:v>One-site first-year planning quantity; allowance unless source explicitly states rate.</x:v>
      </x:c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48" customHeight="1">
      <x:c r="A223" s="1" t="str">
        <x:v>OPS-081</x:v>
      </x:c>
      <x:c r="B223" s="18" t="str">
        <x:v>PPE</x:v>
      </x:c>
      <x:c r="C223" s="18" t="str">
        <x:v>Selected</x:v>
      </x:c>
      <x:c r="D223" s="18" t="str">
        <x:v>OPS-081</x:v>
      </x:c>
      <x:c r="E223" s="18" t="str">
        <x:v>One-site first-year planning quantity; allowance unless source explicitly states rate.</x:v>
      </x:c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48" customHeight="1">
      <x:c r="A224" s="1" t="str">
        <x:v>OPS-082</x:v>
      </x:c>
      <x:c r="B224" s="18" t="str">
        <x:v>Incident report supplies</x:v>
      </x:c>
      <x:c r="C224" s="18" t="str">
        <x:v>Selected</x:v>
      </x:c>
      <x:c r="D224" s="18" t="str">
        <x:v>OPS-082</x:v>
      </x:c>
      <x:c r="E224" s="18" t="str">
        <x:v>One-site first-year planning quantity; allowance unless source explicitly states rate.</x:v>
      </x:c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48" customHeight="1">
      <x:c r="A225" s="1" t="str">
        <x:v>OPS-083</x:v>
      </x:c>
      <x:c r="B225" s="18" t="str">
        <x:v>Emergency drills and materials</x:v>
      </x:c>
      <x:c r="C225" s="18" t="str">
        <x:v>Selected</x:v>
      </x:c>
      <x:c r="D225" s="18" t="str">
        <x:v>OPS-083</x:v>
      </x:c>
      <x:c r="E225" s="18" t="str">
        <x:v>One-site first-year planning quantity; allowance unless source explicitly states rate.</x:v>
      </x:c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48" customHeight="1">
      <x:c r="A226" s="1" t="str">
        <x:v>OPS-085</x:v>
      </x:c>
      <x:c r="B226" s="18" t="str">
        <x:v>Camera maintenance</x:v>
      </x:c>
      <x:c r="C226" s="18" t="str">
        <x:v>Selected</x:v>
      </x:c>
      <x:c r="D226" s="18" t="str">
        <x:v>OPS-085</x:v>
      </x:c>
      <x:c r="E226" s="18" t="str">
        <x:v>One-site first-year planning quantity; allowance unless source explicitly states rate.</x:v>
      </x:c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48" customHeight="1">
      <x:c r="A227" s="1" t="str">
        <x:v>OPS-086</x:v>
      </x:c>
      <x:c r="B227" s="18" t="str">
        <x:v>Access control maintenance</x:v>
      </x:c>
      <x:c r="C227" s="18" t="str">
        <x:v>Selected</x:v>
      </x:c>
      <x:c r="D227" s="18" t="str">
        <x:v>OPS-086</x:v>
      </x:c>
      <x:c r="E227" s="18" t="str">
        <x:v>One-site first-year planning quantity; allowance unless source explicitly states rate.</x:v>
      </x:c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48" customHeight="1">
      <x:c r="A228" s="1" t="str">
        <x:v>OPS-087</x:v>
      </x:c>
      <x:c r="B228" s="18" t="str">
        <x:v>Visitor sign-in supplies</x:v>
      </x:c>
      <x:c r="C228" s="18" t="str">
        <x:v>Selected</x:v>
      </x:c>
      <x:c r="D228" s="18" t="str">
        <x:v>OPS-087</x:v>
      </x:c>
      <x:c r="E228" s="18" t="str">
        <x:v>One-site first-year planning quantity; allowance unless source explicitly states rate.</x:v>
      </x:c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48" customHeight="1">
      <x:c r="A229" s="1" t="str">
        <x:v>OPS-088</x:v>
      </x:c>
      <x:c r="B229" s="18" t="str">
        <x:v>Medication storage</x:v>
      </x:c>
      <x:c r="C229" s="18" t="str">
        <x:v>Selected</x:v>
      </x:c>
      <x:c r="D229" s="18" t="str">
        <x:v>OPS-088</x:v>
      </x:c>
      <x:c r="E229" s="18" t="str">
        <x:v>One-site first-year planning quantity; allowance unless source explicitly states rate.</x:v>
      </x:c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48" customHeight="1">
      <x:c r="A230" s="1" t="str">
        <x:v>OPS-089</x:v>
      </x:c>
      <x:c r="B230" s="18" t="str">
        <x:v>Sharps disposal</x:v>
      </x:c>
      <x:c r="C230" s="18" t="str">
        <x:v>Selected</x:v>
      </x:c>
      <x:c r="D230" s="18" t="str">
        <x:v>OPS-089</x:v>
      </x:c>
      <x:c r="E230" s="18" t="str">
        <x:v>One-site first-year planning quantity; allowance unless source explicitly states rate.</x:v>
      </x:c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48" customHeight="1">
      <x:c r="A231" s="1" t="str">
        <x:v>OPS-090</x:v>
      </x:c>
      <x:c r="B231" s="18" t="str">
        <x:v>Water testing</x:v>
      </x:c>
      <x:c r="C231" s="18" t="str">
        <x:v>Selected</x:v>
      </x:c>
      <x:c r="D231" s="18" t="str">
        <x:v>OPS-090</x:v>
      </x:c>
      <x:c r="E231" s="18" t="str">
        <x:v>One-site first-year planning quantity; allowance unless source explicitly states rate.</x:v>
      </x:c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48" customHeight="1">
      <x:c r="A232" s="1" t="str">
        <x:v>OPS-091</x:v>
      </x:c>
      <x:c r="B232" s="18" t="str">
        <x:v>Indoor air testing</x:v>
      </x:c>
      <x:c r="C232" s="18" t="str">
        <x:v>Selected</x:v>
      </x:c>
      <x:c r="D232" s="18" t="str">
        <x:v>OPS-091</x:v>
      </x:c>
      <x:c r="E232" s="18" t="str">
        <x:v>One-site first-year planning quantity; allowance unless source explicitly states rate.</x:v>
      </x:c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48" customHeight="1">
      <x:c r="A233" s="1" t="str">
        <x:v>OPS-092</x:v>
      </x:c>
      <x:c r="B233" s="18" t="str">
        <x:v>Playground inspection</x:v>
      </x:c>
      <x:c r="C233" s="18" t="str">
        <x:v>Selected</x:v>
      </x:c>
      <x:c r="D233" s="18" t="str">
        <x:v>OPS-092</x:v>
      </x:c>
      <x:c r="E233" s="18" t="str">
        <x:v>One-site first-year planning quantity; allowance unless source explicitly states rate.</x:v>
      </x:c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48" customHeight="1">
      <x:c r="A234" s="1" t="str">
        <x:v>OPS-093</x:v>
      </x:c>
      <x:c r="B234" s="18" t="str">
        <x:v>Child-size tables</x:v>
      </x:c>
      <x:c r="C234" s="18" t="str">
        <x:v>Selected</x:v>
      </x:c>
      <x:c r="D234" s="18" t="str">
        <x:v>OPS-093</x:v>
      </x:c>
      <x:c r="E234" s="18" t="str">
        <x:v>40 children × 260 days = 10,400 child-days. Supplies/equipment assume purchase until physical inventory is reconciled.</x:v>
      </x:c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48" customHeight="1">
      <x:c r="A235" s="1" t="str">
        <x:v>OPS-094</x:v>
      </x:c>
      <x:c r="B235" s="18" t="str">
        <x:v>Child-size chairs</x:v>
      </x:c>
      <x:c r="C235" s="18" t="str">
        <x:v>Selected</x:v>
      </x:c>
      <x:c r="D235" s="18" t="str">
        <x:v>OPS-094</x:v>
      </x:c>
      <x:c r="E235" s="18" t="str">
        <x:v>40 children × 260 days = 10,400 child-days. Supplies/equipment assume purchase until physical inventory is reconciled.</x:v>
      </x:c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48" customHeight="1">
      <x:c r="A236" s="1" t="str">
        <x:v>OPS-095</x:v>
      </x:c>
      <x:c r="B236" s="18" t="str">
        <x:v>Cubbies</x:v>
      </x:c>
      <x:c r="C236" s="18" t="str">
        <x:v>Selected</x:v>
      </x:c>
      <x:c r="D236" s="18" t="str">
        <x:v>OPS-095</x:v>
      </x:c>
      <x:c r="E236" s="18" t="str">
        <x:v>40 children × 260 days = 10,400 child-days. Supplies/equipment assume purchase until physical inventory is reconciled.</x:v>
      </x:c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48" customHeight="1">
      <x:c r="A237" s="1" t="str">
        <x:v>OPS-096</x:v>
      </x:c>
      <x:c r="B237" s="18" t="str">
        <x:v>Bookshelves</x:v>
      </x:c>
      <x:c r="C237" s="18" t="str">
        <x:v>Selected</x:v>
      </x:c>
      <x:c r="D237" s="18" t="str">
        <x:v>OPS-096</x:v>
      </x:c>
      <x:c r="E237" s="18" t="str">
        <x:v>40 children × 260 days = 10,400 child-days. Supplies/equipment assume purchase until physical inventory is reconciled.</x:v>
      </x:c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48" customHeight="1">
      <x:c r="A238" s="1" t="str">
        <x:v>OPS-097</x:v>
      </x:c>
      <x:c r="B238" s="18" t="str">
        <x:v>Rugs and learning-zone carpets</x:v>
      </x:c>
      <x:c r="C238" s="18" t="str">
        <x:v>Selected</x:v>
      </x:c>
      <x:c r="D238" s="18" t="str">
        <x:v>OPS-097</x:v>
      </x:c>
      <x:c r="E238" s="18" t="str">
        <x:v>40 children × 260 days = 10,400 child-days. Supplies/equipment assume purchase until physical inventory is reconciled.</x:v>
      </x:c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48" customHeight="1">
      <x:c r="A239" s="1" t="str">
        <x:v>OPS-098</x:v>
      </x:c>
      <x:c r="B239" s="18" t="str">
        <x:v>Easels</x:v>
      </x:c>
      <x:c r="C239" s="18" t="str">
        <x:v>Selected</x:v>
      </x:c>
      <x:c r="D239" s="18" t="str">
        <x:v>OPS-098</x:v>
      </x:c>
      <x:c r="E239" s="18" t="str">
        <x:v>40 children × 260 days = 10,400 child-days. Supplies/equipment assume purchase until physical inventory is reconciled.</x:v>
      </x:c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48" customHeight="1">
      <x:c r="A240" s="1" t="str">
        <x:v>OPS-099</x:v>
      </x:c>
      <x:c r="B240" s="18" t="str">
        <x:v>Art tables</x:v>
      </x:c>
      <x:c r="C240" s="18" t="str">
        <x:v>Selected</x:v>
      </x:c>
      <x:c r="D240" s="18" t="str">
        <x:v>OPS-099</x:v>
      </x:c>
      <x:c r="E240" s="18" t="str">
        <x:v>40 children × 260 days = 10,400 child-days. Supplies/equipment assume purchase until physical inventory is reconciled.</x:v>
      </x:c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48" customHeight="1">
      <x:c r="A241" s="1" t="str">
        <x:v>OPS-100</x:v>
      </x:c>
      <x:c r="B241" s="18" t="str">
        <x:v>Storage bins</x:v>
      </x:c>
      <x:c r="C241" s="18" t="str">
        <x:v>Selected</x:v>
      </x:c>
      <x:c r="D241" s="18" t="str">
        <x:v>OPS-100</x:v>
      </x:c>
      <x:c r="E241" s="18" t="str">
        <x:v>40 children × 260 days = 10,400 child-days. Supplies/equipment assume purchase until physical inventory is reconciled.</x:v>
      </x:c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48" customHeight="1">
      <x:c r="A242" s="1" t="str">
        <x:v>OPS-101</x:v>
      </x:c>
      <x:c r="B242" s="18" t="str">
        <x:v>Nap mats</x:v>
      </x:c>
      <x:c r="C242" s="18" t="str">
        <x:v>Selected</x:v>
      </x:c>
      <x:c r="D242" s="18" t="str">
        <x:v>OPS-101</x:v>
      </x:c>
      <x:c r="E242" s="18" t="str">
        <x:v>40 children × 260 days = 10,400 child-days. Supplies/equipment assume purchase until physical inventory is reconciled.</x:v>
      </x:c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48" customHeight="1">
      <x:c r="A243" s="1" t="str">
        <x:v>OPS-103</x:v>
      </x:c>
      <x:c r="B243" s="18" t="str">
        <x:v>Outdoor play equipment</x:v>
      </x:c>
      <x:c r="C243" s="18" t="str">
        <x:v>Selected</x:v>
      </x:c>
      <x:c r="D243" s="18" t="str">
        <x:v>OPS-103</x:v>
      </x:c>
      <x:c r="E243" s="18" t="str">
        <x:v>40 children × 260 days = 10,400 child-days. Supplies/equipment assume purchase until physical inventory is reconciled.</x:v>
      </x:c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48" customHeight="1">
      <x:c r="A244" s="1" t="str">
        <x:v>OPS-104</x:v>
      </x:c>
      <x:c r="B244" s="18" t="str">
        <x:v>Outdoor safety surfacing</x:v>
      </x:c>
      <x:c r="C244" s="18" t="str">
        <x:v>Selected</x:v>
      </x:c>
      <x:c r="D244" s="18" t="str">
        <x:v>OPS-104</x:v>
      </x:c>
      <x:c r="E244" s="18" t="str">
        <x:v>40 children × 260 days = 10,400 child-days. Supplies/equipment assume purchase until physical inventory is reconciled.</x:v>
      </x:c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48" customHeight="1">
      <x:c r="A245" s="1" t="str">
        <x:v>OPS-105</x:v>
      </x:c>
      <x:c r="B245" s="18" t="str">
        <x:v>Manipulatives</x:v>
      </x:c>
      <x:c r="C245" s="18" t="str">
        <x:v>Selected</x:v>
      </x:c>
      <x:c r="D245" s="18" t="str">
        <x:v>OPS-105</x:v>
      </x:c>
      <x:c r="E245" s="18" t="str">
        <x:v>40 children × 260 days = 10,400 child-days. Supplies/equipment assume purchase until physical inventory is reconciled.</x:v>
      </x:c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48" customHeight="1">
      <x:c r="A246" s="1" t="str">
        <x:v>OPS-106</x:v>
      </x:c>
      <x:c r="B246" s="18" t="str">
        <x:v>Dramatic play props</x:v>
      </x:c>
      <x:c r="C246" s="18" t="str">
        <x:v>Selected</x:v>
      </x:c>
      <x:c r="D246" s="18" t="str">
        <x:v>OPS-106</x:v>
      </x:c>
      <x:c r="E246" s="18" t="str">
        <x:v>40 children × 260 days = 10,400 child-days. Supplies/equipment assume purchase until physical inventory is reconciled.</x:v>
      </x:c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48" customHeight="1">
      <x:c r="A247" s="1" t="str">
        <x:v>OPS-107</x:v>
      </x:c>
      <x:c r="B247" s="18" t="str">
        <x:v>Blocks</x:v>
      </x:c>
      <x:c r="C247" s="18" t="str">
        <x:v>Selected</x:v>
      </x:c>
      <x:c r="D247" s="18" t="str">
        <x:v>OPS-107</x:v>
      </x:c>
      <x:c r="E247" s="18" t="str">
        <x:v>40 children × 260 days = 10,400 child-days. Supplies/equipment assume purchase until physical inventory is reconciled.</x:v>
      </x:c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48" customHeight="1">
      <x:c r="A248" s="1" t="str">
        <x:v>OPS-108</x:v>
      </x:c>
      <x:c r="B248" s="18" t="str">
        <x:v>Puzzles</x:v>
      </x:c>
      <x:c r="C248" s="18" t="str">
        <x:v>Selected</x:v>
      </x:c>
      <x:c r="D248" s="18" t="str">
        <x:v>OPS-108</x:v>
      </x:c>
      <x:c r="E248" s="18" t="str">
        <x:v>40 children × 260 days = 10,400 child-days. Supplies/equipment assume purchase until physical inventory is reconciled.</x:v>
      </x:c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48" customHeight="1">
      <x:c r="A249" s="1" t="str">
        <x:v>OPS-109</x:v>
      </x:c>
      <x:c r="B249" s="18" t="str">
        <x:v>Books</x:v>
      </x:c>
      <x:c r="C249" s="18" t="str">
        <x:v>Selected</x:v>
      </x:c>
      <x:c r="D249" s="18" t="str">
        <x:v>OPS-109</x:v>
      </x:c>
      <x:c r="E249" s="18" t="str">
        <x:v>40 children × 260 days = 10,400 child-days. Supplies/equipment assume purchase until physical inventory is reconciled.</x:v>
      </x:c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48" customHeight="1">
      <x:c r="A250" s="1" t="str">
        <x:v>OPS-110</x:v>
      </x:c>
      <x:c r="B250" s="18" t="str">
        <x:v>Pencils</x:v>
      </x:c>
      <x:c r="C250" s="18" t="str">
        <x:v>Selected</x:v>
      </x:c>
      <x:c r="D250" s="18" t="str">
        <x:v>OPS-110</x:v>
      </x:c>
      <x:c r="E250" s="18" t="str">
        <x:v>40 children × 260 days = 10,400 child-days. Supplies/equipment assume purchase until physical inventory is reconciled.</x:v>
      </x:c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48" customHeight="1">
      <x:c r="A251" s="1" t="str">
        <x:v>OPS-111</x:v>
      </x:c>
      <x:c r="B251" s="18" t="str">
        <x:v>Crayons</x:v>
      </x:c>
      <x:c r="C251" s="18" t="str">
        <x:v>Selected</x:v>
      </x:c>
      <x:c r="D251" s="18" t="str">
        <x:v>OPS-111</x:v>
      </x:c>
      <x:c r="E251" s="18" t="str">
        <x:v>40 children × 260 days = 10,400 child-days. Supplies/equipment assume purchase until physical inventory is reconciled.</x:v>
      </x:c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48" customHeight="1">
      <x:c r="A252" s="1" t="str">
        <x:v>OPS-112</x:v>
      </x:c>
      <x:c r="B252" s="18" t="str">
        <x:v>Markers</x:v>
      </x:c>
      <x:c r="C252" s="18" t="str">
        <x:v>Selected</x:v>
      </x:c>
      <x:c r="D252" s="18" t="str">
        <x:v>OPS-112</x:v>
      </x:c>
      <x:c r="E252" s="18" t="str">
        <x:v>40 children × 260 days = 10,400 child-days. Supplies/equipment assume purchase until physical inventory is reconciled.</x:v>
      </x:c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48" customHeight="1">
      <x:c r="A253" s="1" t="str">
        <x:v>OPS-113</x:v>
      </x:c>
      <x:c r="B253" s="18" t="str">
        <x:v>Construction paper</x:v>
      </x:c>
      <x:c r="C253" s="18" t="str">
        <x:v>Selected</x:v>
      </x:c>
      <x:c r="D253" s="18" t="str">
        <x:v>OPS-113</x:v>
      </x:c>
      <x:c r="E253" s="18" t="str">
        <x:v>40 children × 260 days = 10,400 child-days. Supplies/equipment assume purchase until physical inventory is reconciled.</x:v>
      </x:c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48" customHeight="1">
      <x:c r="A254" s="1" t="str">
        <x:v>OPS-114</x:v>
      </x:c>
      <x:c r="B254" s="18" t="str">
        <x:v>Glue</x:v>
      </x:c>
      <x:c r="C254" s="18" t="str">
        <x:v>Selected</x:v>
      </x:c>
      <x:c r="D254" s="18" t="str">
        <x:v>OPS-114</x:v>
      </x:c>
      <x:c r="E254" s="18" t="str">
        <x:v>40 children × 260 days = 10,400 child-days. Supplies/equipment assume purchase until physical inventory is reconciled.</x:v>
      </x:c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48" customHeight="1">
      <x:c r="A255" s="1" t="str">
        <x:v>OPS-115</x:v>
      </x:c>
      <x:c r="B255" s="18" t="str">
        <x:v>Child scissors</x:v>
      </x:c>
      <x:c r="C255" s="18" t="str">
        <x:v>Selected</x:v>
      </x:c>
      <x:c r="D255" s="18" t="str">
        <x:v>OPS-115</x:v>
      </x:c>
      <x:c r="E255" s="18" t="str">
        <x:v>40 children × 260 days = 10,400 child-days. Supplies/equipment assume purchase until physical inventory is reconciled.</x:v>
      </x:c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48" customHeight="1">
      <x:c r="A256" s="1" t="str">
        <x:v>OPS-116</x:v>
      </x:c>
      <x:c r="B256" s="18" t="str">
        <x:v>Paint and brushes</x:v>
      </x:c>
      <x:c r="C256" s="18" t="str">
        <x:v>Selected</x:v>
      </x:c>
      <x:c r="D256" s="18" t="str">
        <x:v>OPS-116</x:v>
      </x:c>
      <x:c r="E256" s="18" t="str">
        <x:v>40 children × 260 days = 10,400 child-days. Supplies/equipment assume purchase until physical inventory is reconciled.</x:v>
      </x:c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48" customHeight="1">
      <x:c r="A257" s="1" t="str">
        <x:v>OPS-117</x:v>
      </x:c>
      <x:c r="B257" s="18" t="str">
        <x:v>Play dough</x:v>
      </x:c>
      <x:c r="C257" s="18" t="str">
        <x:v>Selected</x:v>
      </x:c>
      <x:c r="D257" s="18" t="str">
        <x:v>OPS-117</x:v>
      </x:c>
      <x:c r="E257" s="18" t="str">
        <x:v>40 children × 260 days = 10,400 child-days. Supplies/equipment assume purchase until physical inventory is reconciled.</x:v>
      </x:c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48" customHeight="1">
      <x:c r="A258" s="1" t="str">
        <x:v>OPS-118</x:v>
      </x:c>
      <x:c r="B258" s="18" t="str">
        <x:v>Printer paper</x:v>
      </x:c>
      <x:c r="C258" s="18" t="str">
        <x:v>Selected</x:v>
      </x:c>
      <x:c r="D258" s="18" t="str">
        <x:v>OPS-118</x:v>
      </x:c>
      <x:c r="E258" s="18" t="str">
        <x:v>40 children × 260 days = 10,400 child-days. Supplies/equipment assume purchase until physical inventory is reconciled.</x:v>
      </x:c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48" customHeight="1">
      <x:c r="A259" s="1" t="str">
        <x:v>OPS-119</x:v>
      </x:c>
      <x:c r="B259" s="18" t="str">
        <x:v>Laminating pouches</x:v>
      </x:c>
      <x:c r="C259" s="18" t="str">
        <x:v>Selected</x:v>
      </x:c>
      <x:c r="D259" s="18" t="str">
        <x:v>OPS-119</x:v>
      </x:c>
      <x:c r="E259" s="18" t="str">
        <x:v>40 children × 260 days = 10,400 child-days. Supplies/equipment assume purchase until physical inventory is reconciled.</x:v>
      </x:c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48" customHeight="1">
      <x:c r="A260" s="1" t="str">
        <x:v>OPS-120</x:v>
      </x:c>
      <x:c r="B260" s="18" t="str">
        <x:v>Labels and name tags</x:v>
      </x:c>
      <x:c r="C260" s="18" t="str">
        <x:v>Selected</x:v>
      </x:c>
      <x:c r="D260" s="18" t="str">
        <x:v>OPS-120</x:v>
      </x:c>
      <x:c r="E260" s="18" t="str">
        <x:v>40 children × 260 days = 10,400 child-days. Supplies/equipment assume purchase until physical inventory is reconciled.</x:v>
      </x:c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48" customHeight="1">
      <x:c r="A261" s="1" t="str">
        <x:v>OPS-121</x:v>
      </x:c>
      <x:c r="B261" s="18" t="str">
        <x:v>Whiteboard supplies</x:v>
      </x:c>
      <x:c r="C261" s="18" t="str">
        <x:v>Selected</x:v>
      </x:c>
      <x:c r="D261" s="18" t="str">
        <x:v>OPS-121</x:v>
      </x:c>
      <x:c r="E261" s="18" t="str">
        <x:v>40 children × 260 days = 10,400 child-days. Supplies/equipment assume purchase until physical inventory is reconciled.</x:v>
      </x:c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48" customHeight="1">
      <x:c r="A262" s="1" t="str">
        <x:v>OPS-122</x:v>
      </x:c>
      <x:c r="B262" s="18" t="str">
        <x:v>Music instruments</x:v>
      </x:c>
      <x:c r="C262" s="18" t="str">
        <x:v>Selected</x:v>
      </x:c>
      <x:c r="D262" s="18" t="str">
        <x:v>OPS-122</x:v>
      </x:c>
      <x:c r="E262" s="18" t="str">
        <x:v>40 children × 260 days = 10,400 child-days. Supplies/equipment assume purchase until physical inventory is reconciled.</x:v>
      </x:c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48" customHeight="1">
      <x:c r="A263" s="1" t="str">
        <x:v>OPS-123</x:v>
      </x:c>
      <x:c r="B263" s="18" t="str">
        <x:v>Sensory materials</x:v>
      </x:c>
      <x:c r="C263" s="18" t="str">
        <x:v>Selected</x:v>
      </x:c>
      <x:c r="D263" s="18" t="str">
        <x:v>OPS-123</x:v>
      </x:c>
      <x:c r="E263" s="18" t="str">
        <x:v>40 children × 260 days = 10,400 child-days. Supplies/equipment assume purchase until physical inventory is reconciled.</x:v>
      </x:c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48" customHeight="1">
      <x:c r="A264" s="1" t="str">
        <x:v>OPS-124</x:v>
      </x:c>
      <x:c r="B264" s="18" t="str">
        <x:v>Science materials</x:v>
      </x:c>
      <x:c r="C264" s="18" t="str">
        <x:v>Selected</x:v>
      </x:c>
      <x:c r="D264" s="18" t="str">
        <x:v>OPS-124</x:v>
      </x:c>
      <x:c r="E264" s="18" t="str">
        <x:v>40 children × 260 days = 10,400 child-days. Supplies/equipment assume purchase until physical inventory is reconciled.</x:v>
      </x:c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48" customHeight="1">
      <x:c r="A265" s="1" t="str">
        <x:v>OPS-125</x:v>
      </x:c>
      <x:c r="B265" s="18" t="str">
        <x:v>Dramatic play costumes</x:v>
      </x:c>
      <x:c r="C265" s="18" t="str">
        <x:v>Selected</x:v>
      </x:c>
      <x:c r="D265" s="18" t="str">
        <x:v>OPS-125</x:v>
      </x:c>
      <x:c r="E265" s="18" t="str">
        <x:v>40 children × 260 days = 10,400 child-days. Supplies/equipment assume purchase until physical inventory is reconciled.</x:v>
      </x:c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48" customHeight="1">
      <x:c r="A266" s="1" t="str">
        <x:v>OPS-128</x:v>
      </x:c>
      <x:c r="B266" s="18" t="str">
        <x:v>Tax preparation</x:v>
      </x:c>
      <x:c r="C266" s="18" t="str">
        <x:v>Selected</x:v>
      </x:c>
      <x:c r="D266" s="18" t="str">
        <x:v>OPS-128</x:v>
      </x:c>
      <x:c r="E266" s="18" t="str">
        <x:v>One-site first-year planning quantity; allowance unless source explicitly states rate.</x:v>
      </x:c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48" customHeight="1">
      <x:c r="A267" s="1" t="str">
        <x:v>OPS-129</x:v>
      </x:c>
      <x:c r="B267" s="18" t="str">
        <x:v>Legal counsel</x:v>
      </x:c>
      <x:c r="C267" s="18" t="str">
        <x:v>Selected</x:v>
      </x:c>
      <x:c r="D267" s="18" t="str">
        <x:v>OPS-129</x:v>
      </x:c>
      <x:c r="E267" s="18" t="str">
        <x:v>One-site first-year planning quantity; allowance unless source explicitly states rate.</x:v>
      </x:c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48" customHeight="1">
      <x:c r="A268" s="1" t="str">
        <x:v>OPS-132</x:v>
      </x:c>
      <x:c r="B268" s="18" t="str">
        <x:v>Bank fees</x:v>
      </x:c>
      <x:c r="C268" s="18" t="str">
        <x:v>Selected</x:v>
      </x:c>
      <x:c r="D268" s="18" t="str">
        <x:v>OPS-132</x:v>
      </x:c>
      <x:c r="E268" s="18" t="str">
        <x:v>One-site first-year planning quantity; allowance unless source explicitly states rate.</x:v>
      </x:c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48" customHeight="1">
      <x:c r="A269" s="1" t="str">
        <x:v>OPS-134</x:v>
      </x:c>
      <x:c r="B269" s="18" t="str">
        <x:v>Postage and shipping</x:v>
      </x:c>
      <x:c r="C269" s="18" t="str">
        <x:v>Selected</x:v>
      </x:c>
      <x:c r="D269" s="18" t="str">
        <x:v>OPS-134</x:v>
      </x:c>
      <x:c r="E269" s="18" t="str">
        <x:v>One-site first-year planning quantity; allowance unless source explicitly states rate.</x:v>
      </x:c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48" customHeight="1">
      <x:c r="A270" s="1" t="str">
        <x:v>OPS-136</x:v>
      </x:c>
      <x:c r="B270" s="18" t="str">
        <x:v>Staff uniforms</x:v>
      </x:c>
      <x:c r="C270" s="18" t="str">
        <x:v>Selected</x:v>
      </x:c>
      <x:c r="D270" s="18" t="str">
        <x:v>OPS-136</x:v>
      </x:c>
      <x:c r="E270" s="18" t="str">
        <x:v>One-site first-year planning quantity; allowance unless source explicitly states rate.</x:v>
      </x:c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48" customHeight="1">
      <x:c r="A271" s="1" t="str">
        <x:v>OPS-137</x:v>
      </x:c>
      <x:c r="B271" s="18" t="str">
        <x:v>Accounting software</x:v>
      </x:c>
      <x:c r="C271" s="18" t="str">
        <x:v>Selected</x:v>
      </x:c>
      <x:c r="D271" s="18" t="str">
        <x:v>OPS-137</x:v>
      </x:c>
      <x:c r="E271" s="18" t="str">
        <x:v>One-site first-year planning quantity; allowance unless source explicitly states rate.</x:v>
      </x:c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48" customHeight="1">
      <x:c r="A272" s="1" t="str">
        <x:v>OPS-139</x:v>
      </x:c>
      <x:c r="B272" s="18" t="str">
        <x:v>Phone system</x:v>
      </x:c>
      <x:c r="C272" s="18" t="str">
        <x:v>Selected</x:v>
      </x:c>
      <x:c r="D272" s="18" t="str">
        <x:v>OPS-139</x:v>
      </x:c>
      <x:c r="E272" s="18" t="str">
        <x:v>One-site first-year planning quantity; allowance unless source explicitly states rate.</x:v>
      </x:c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48" customHeight="1">
      <x:c r="A273" s="1" t="str">
        <x:v>OPS-140</x:v>
      </x:c>
      <x:c r="B273" s="18" t="str">
        <x:v>Printing</x:v>
      </x:c>
      <x:c r="C273" s="18" t="str">
        <x:v>Selected</x:v>
      </x:c>
      <x:c r="D273" s="18" t="str">
        <x:v>OPS-140</x:v>
      </x:c>
      <x:c r="E273" s="18" t="str">
        <x:v>One-site first-year planning quantity; allowance unless source explicitly states rate.</x:v>
      </x:c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48" customHeight="1">
      <x:c r="A274" s="1" t="str">
        <x:v>OPS-141</x:v>
      </x:c>
      <x:c r="B274" s="18" t="str">
        <x:v>Notary fees</x:v>
      </x:c>
      <x:c r="C274" s="18" t="str">
        <x:v>Selected</x:v>
      </x:c>
      <x:c r="D274" s="18" t="str">
        <x:v>OPS-141</x:v>
      </x:c>
      <x:c r="E274" s="18" t="str">
        <x:v>One-site first-year planning quantity; allowance unless source explicitly states rate.</x:v>
      </x:c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48" customHeight="1">
      <x:c r="A275" s="1" t="str">
        <x:v>OPS-142</x:v>
      </x:c>
      <x:c r="B275" s="18" t="str">
        <x:v>Mailing supplies</x:v>
      </x:c>
      <x:c r="C275" s="18" t="str">
        <x:v>Selected</x:v>
      </x:c>
      <x:c r="D275" s="18" t="str">
        <x:v>OPS-142</x:v>
      </x:c>
      <x:c r="E275" s="18" t="str">
        <x:v>One-site first-year planning quantity; allowance unless source explicitly states rate.</x:v>
      </x:c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48" customHeight="1">
      <x:c r="A276" s="1" t="str">
        <x:v>OPS-147</x:v>
      </x:c>
      <x:c r="B276" s="18" t="str">
        <x:v>Dietitian or food consultant</x:v>
      </x:c>
      <x:c r="C276" s="18" t="str">
        <x:v>Selected</x:v>
      </x:c>
      <x:c r="D276" s="18" t="str">
        <x:v>OPS-147</x:v>
      </x:c>
      <x:c r="E276" s="18" t="str">
        <x:v>One-site first-year planning quantity; allowance unless source explicitly states rate.</x:v>
      </x:c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48" customHeight="1">
      <x:c r="A277" s="1" t="str">
        <x:v>OPS-148</x:v>
      </x:c>
      <x:c r="B277" s="18" t="str">
        <x:v>Child-development advisor</x:v>
      </x:c>
      <x:c r="C277" s="18" t="str">
        <x:v>Selected</x:v>
      </x:c>
      <x:c r="D277" s="18" t="str">
        <x:v>OPS-148</x:v>
      </x:c>
      <x:c r="E277" s="18" t="str">
        <x:v>One-site first-year planning quantity; allowance unless source explicitly states rate.</x:v>
      </x:c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48" customHeight="1">
      <x:c r="A278" s="1" t="str">
        <x:v>OPS-152</x:v>
      </x:c>
      <x:c r="B278" s="18" t="str">
        <x:v>Architect or space planner</x:v>
      </x:c>
      <x:c r="C278" s="18" t="str">
        <x:v>Selected</x:v>
      </x:c>
      <x:c r="D278" s="18" t="str">
        <x:v>OPS-152</x:v>
      </x:c>
      <x:c r="E278" s="18" t="str">
        <x:v>One-site first-year planning quantity; allowance unless source explicitly states rate.</x:v>
      </x:c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48" customHeight="1">
      <x:c r="A279" s="1" t="str">
        <x:v>OPS-157</x:v>
      </x:c>
      <x:c r="B279" s="18" t="str">
        <x:v>Legal privacy review</x:v>
      </x:c>
      <x:c r="C279" s="18" t="str">
        <x:v>Selected</x:v>
      </x:c>
      <x:c r="D279" s="18" t="str">
        <x:v>OPS-157</x:v>
      </x:c>
      <x:c r="E279" s="18" t="str">
        <x:v>One-site first-year planning quantity; allowance unless source explicitly states rate.</x:v>
      </x:c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48" customHeight="1">
      <x:c r="A280" s="1" t="str">
        <x:v>OPS-001</x:v>
      </x:c>
      <x:c r="B280" s="18" t="str">
        <x:v>Operating location identity and address</x:v>
      </x:c>
      <x:c r="C280" s="18" t="str">
        <x:v>Outside selected scenario</x:v>
      </x:c>
      <x:c r="D280" s="18" t="str"/>
      <x:c r="E280" s="18" t="str">
        <x:v>Input rather than expense; ages 2–5 confirmed. Capacity, tuition and actual attendance require source records.</x:v>
      </x:c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48" customHeight="1">
      <x:c r="A281" s="1" t="str">
        <x:v>OPS-002</x:v>
      </x:c>
      <x:c r="B281" s="18" t="str">
        <x:v>Licensed capacity by age group</x:v>
      </x:c>
      <x:c r="C281" s="18" t="str">
        <x:v>Outside selected scenario</x:v>
      </x:c>
      <x:c r="D281" s="18" t="str"/>
      <x:c r="E281" s="18" t="str">
        <x:v>Input rather than expense; ages 2–5 confirmed. Capacity, tuition and actual attendance require source records.</x:v>
      </x:c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48" customHeight="1">
      <x:c r="A282" s="1" t="str">
        <x:v>OPS-003</x:v>
      </x:c>
      <x:c r="B282" s="18" t="str">
        <x:v>Current enrolled children</x:v>
      </x:c>
      <x:c r="C282" s="18" t="str">
        <x:v>Outside selected scenario</x:v>
      </x:c>
      <x:c r="D282" s="18" t="str"/>
      <x:c r="E282" s="18" t="str">
        <x:v>Input rather than expense; ages 2–5 confirmed. Capacity, tuition and actual attendance require source records.</x:v>
      </x:c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48" customHeight="1">
      <x:c r="A283" s="1" t="str">
        <x:v>OPS-004</x:v>
      </x:c>
      <x:c r="B283" s="18" t="str">
        <x:v>Attendance by day and age mix</x:v>
      </x:c>
      <x:c r="C283" s="18" t="str">
        <x:v>Outside selected scenario</x:v>
      </x:c>
      <x:c r="D283" s="18" t="str"/>
      <x:c r="E283" s="18" t="str">
        <x:v>Input rather than expense; ages 2–5 confirmed. Capacity, tuition and actual attendance require source records.</x:v>
      </x:c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48" customHeight="1">
      <x:c r="A284" s="1" t="str">
        <x:v>OPS-005</x:v>
      </x:c>
      <x:c r="B284" s="18" t="str">
        <x:v>Hours of operation</x:v>
      </x:c>
      <x:c r="C284" s="18" t="str">
        <x:v>Outside selected scenario</x:v>
      </x:c>
      <x:c r="D284" s="18" t="str"/>
      <x:c r="E284" s="18" t="str">
        <x:v>Input rather than expense; ages 2–5 confirmed. Capacity, tuition and actual attendance require source records.</x:v>
      </x:c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48" customHeight="1">
      <x:c r="A285" s="1" t="str">
        <x:v>OPS-006</x:v>
      </x:c>
      <x:c r="B285" s="18" t="str">
        <x:v>Current tuition and fee schedule</x:v>
      </x:c>
      <x:c r="C285" s="18" t="str">
        <x:v>Outside selected scenario</x:v>
      </x:c>
      <x:c r="D285" s="18" t="str"/>
      <x:c r="E285" s="18" t="str">
        <x:v>Input rather than expense; ages 2–5 confirmed. Capacity, tuition and actual attendance require source records.</x:v>
      </x:c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48" customHeight="1">
      <x:c r="A286" s="1" t="str">
        <x:v>OPS-007</x:v>
      </x:c>
      <x:c r="B286" s="18" t="str">
        <x:v>Expansion enrollment target</x:v>
      </x:c>
      <x:c r="C286" s="18" t="str">
        <x:v>Outside selected scenario</x:v>
      </x:c>
      <x:c r="D286" s="18" t="str"/>
      <x:c r="E286" s="18" t="str">
        <x:v>Input rather than expense; ages 2–5 confirmed. Capacity, tuition and actual attendance require source records.</x:v>
      </x:c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48" customHeight="1">
      <x:c r="A287" s="1" t="str">
        <x:v>OPS-008</x:v>
      </x:c>
      <x:c r="B287" s="18" t="str">
        <x:v>Expansion service hours</x:v>
      </x:c>
      <x:c r="C287" s="18" t="str">
        <x:v>Outside selected scenario</x:v>
      </x:c>
      <x:c r="D287" s="18" t="str"/>
      <x:c r="E287" s="18" t="str">
        <x:v>Input rather than expense; ages 2–5 confirmed. Capacity, tuition and actual attendance require source records.</x:v>
      </x:c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48" customHeight="1">
      <x:c r="A288" s="1" t="str">
        <x:v>OPS-009</x:v>
      </x:c>
      <x:c r="B288" s="18" t="str">
        <x:v>Additional classroom lead seat</x:v>
      </x:c>
      <x:c r="C288" s="18" t="str">
        <x:v>Covered elsewhere</x:v>
      </x:c>
      <x:c r="D288" s="18" t="str">
        <x:v>STA-02</x:v>
      </x:c>
      <x:c r="E288" s="18" t="str">
        <x:v>Covered by selected wage, gross lease, deliverable or reserve. Gross lease assumes property tax/CAM included; inspect actual contract.</x:v>
      </x:c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48" customHeight="1">
      <x:c r="A289" s="1" t="str">
        <x:v>OPS-010</x:v>
      </x:c>
      <x:c r="B289" s="18" t="str">
        <x:v>Additional classroom assistant seat</x:v>
      </x:c>
      <x:c r="C289" s="18" t="str">
        <x:v>Covered elsewhere</x:v>
      </x:c>
      <x:c r="D289" s="18" t="str">
        <x:v>STA-06</x:v>
      </x:c>
      <x:c r="E289" s="18" t="str">
        <x:v>Covered by selected wage, gross lease, deliverable or reserve. Gross lease assumes property tax/CAM included; inspect actual contract.</x:v>
      </x:c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48" customHeight="1">
      <x:c r="A290" s="1" t="str">
        <x:v>OPS-011</x:v>
      </x:c>
      <x:c r="B290" s="18" t="str">
        <x:v>Float teacher</x:v>
      </x:c>
      <x:c r="C290" s="18" t="str">
        <x:v>Covered elsewhere</x:v>
      </x:c>
      <x:c r="D290" s="18" t="str">
        <x:v>STA-10</x:v>
      </x:c>
      <x:c r="E290" s="18" t="str">
        <x:v>Covered by selected wage, gross lease, deliverable or reserve. Gross lease assumes property tax/CAM included; inspect actual contract.</x:v>
      </x:c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48" customHeight="1">
      <x:c r="A291" s="1" t="str">
        <x:v>OPS-012</x:v>
      </x:c>
      <x:c r="B291" s="18" t="str">
        <x:v>Substitute teacher pool</x:v>
      </x:c>
      <x:c r="C291" s="18" t="str">
        <x:v>Covered elsewhere</x:v>
      </x:c>
      <x:c r="D291" s="18" t="str">
        <x:v>STA-SUB</x:v>
      </x:c>
      <x:c r="E291" s="18" t="str">
        <x:v>Covered by selected wage, gross lease, deliverable or reserve. Gross lease assumes property tax/CAM included; inspect actual contract.</x:v>
      </x:c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48" customHeight="1">
      <x:c r="A292" s="1" t="str">
        <x:v>OPS-013</x:v>
      </x:c>
      <x:c r="B292" s="18" t="str">
        <x:v>PTO coverage wages</x:v>
      </x:c>
      <x:c r="C292" s="18" t="str">
        <x:v>Covered elsewhere</x:v>
      </x:c>
      <x:c r="D292" s="18" t="str">
        <x:v>STA-SUB</x:v>
      </x:c>
      <x:c r="E292" s="18" t="str">
        <x:v>Covered by selected wage, gross lease, deliverable or reserve. Gross lease assumes property tax/CAM included; inspect actual contract.</x:v>
      </x:c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48" customHeight="1">
      <x:c r="A293" s="1" t="str">
        <x:v>OPS-014</x:v>
      </x:c>
      <x:c r="B293" s="18" t="str">
        <x:v>Break coverage wages</x:v>
      </x:c>
      <x:c r="C293" s="18" t="str">
        <x:v>Covered elsewhere</x:v>
      </x:c>
      <x:c r="D293" s="18" t="str">
        <x:v>STA-10</x:v>
      </x:c>
      <x:c r="E293" s="18" t="str">
        <x:v>Covered by selected wage, gross lease, deliverable or reserve. Gross lease assumes property tax/CAM included; inspect actual contract.</x:v>
      </x:c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48" customHeight="1">
      <x:c r="A294" s="1" t="str">
        <x:v>OPS-015</x:v>
      </x:c>
      <x:c r="B294" s="18" t="str">
        <x:v>Open coverage wages</x:v>
      </x:c>
      <x:c r="C294" s="18" t="str">
        <x:v>Covered elsewhere</x:v>
      </x:c>
      <x:c r="D294" s="18" t="str">
        <x:v>STA-11</x:v>
      </x:c>
      <x:c r="E294" s="18" t="str">
        <x:v>Covered by selected wage, gross lease, deliverable or reserve. Gross lease assumes property tax/CAM included; inspect actual contract.</x:v>
      </x:c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48" customHeight="1">
      <x:c r="A295" s="1" t="str">
        <x:v>OPS-016</x:v>
      </x:c>
      <x:c r="B295" s="18" t="str">
        <x:v>Close coverage wages</x:v>
      </x:c>
      <x:c r="C295" s="18" t="str">
        <x:v>Covered elsewhere</x:v>
      </x:c>
      <x:c r="D295" s="18" t="str">
        <x:v>STA-11</x:v>
      </x:c>
      <x:c r="E295" s="18" t="str">
        <x:v>Covered by selected wage, gross lease, deliverable or reserve. Gross lease assumes property tax/CAM included; inspect actual contract.</x:v>
      </x:c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48" customHeight="1">
      <x:c r="A296" s="1" t="str">
        <x:v>OPS-017</x:v>
      </x:c>
      <x:c r="B296" s="18" t="str">
        <x:v>Onboarding paid time</x:v>
      </x:c>
      <x:c r="C296" s="18" t="str">
        <x:v>Covered elsewhere</x:v>
      </x:c>
      <x:c r="D296" s="18" t="str">
        <x:v>STA-01</x:v>
      </x:c>
      <x:c r="E296" s="18" t="str">
        <x:v>Covered by selected wage, gross lease, deliverable or reserve. Gross lease assumes property tax/CAM included; inspect actual contract.</x:v>
      </x:c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48" customHeight="1">
      <x:c r="A297" s="1" t="str">
        <x:v>OPS-018</x:v>
      </x:c>
      <x:c r="B297" s="18" t="str">
        <x:v>Recurring training paid time</x:v>
      </x:c>
      <x:c r="C297" s="18" t="str">
        <x:v>Covered elsewhere</x:v>
      </x:c>
      <x:c r="D297" s="18" t="str">
        <x:v>STA-01</x:v>
      </x:c>
      <x:c r="E297" s="18" t="str">
        <x:v>Covered by selected wage, gross lease, deliverable or reserve. Gross lease assumes property tax/CAM included; inspect actual contract.</x:v>
      </x:c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48" customHeight="1">
      <x:c r="A298" s="1" t="str">
        <x:v>OPS-023</x:v>
      </x:c>
      <x:c r="B298" s="18" t="str">
        <x:v>Workers compensation premium</x:v>
      </x:c>
      <x:c r="C298" s="18" t="str">
        <x:v>Covered elsewhere</x:v>
      </x:c>
      <x:c r="D298" s="18" t="str">
        <x:v>STA-* WC</x:v>
      </x:c>
      <x:c r="E298" s="18" t="str">
        <x:v>Covered by selected wage, gross lease, deliverable or reserve. Gross lease assumes property tax/CAM included; inspect actual contract.</x:v>
      </x:c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48" customHeight="1">
      <x:c r="A299" s="1" t="str">
        <x:v>OPS-024</x:v>
      </x:c>
      <x:c r="B299" s="18" t="str">
        <x:v>Unemployment insurance</x:v>
      </x:c>
      <x:c r="C299" s="18" t="str">
        <x:v>Covered elsewhere</x:v>
      </x:c>
      <x:c r="D299" s="18" t="str">
        <x:v>STA-* UI</x:v>
      </x:c>
      <x:c r="E299" s="18" t="str">
        <x:v>Covered by selected wage, gross lease, deliverable or reserve. Gross lease assumes property tax/CAM included; inspect actual contract.</x:v>
      </x:c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48" customHeight="1">
      <x:c r="A300" s="1" t="str">
        <x:v>OPS-026</x:v>
      </x:c>
      <x:c r="B300" s="18" t="str">
        <x:v>Staff scheduling software</x:v>
      </x:c>
      <x:c r="C300" s="18" t="str">
        <x:v>Covered elsewhere</x:v>
      </x:c>
      <x:c r="D300" s="18" t="str">
        <x:v>ADD-SCHEDULE</x:v>
      </x:c>
      <x:c r="E300" s="18" t="str">
        <x:v>Covered by selected wage, gross lease, deliverable or reserve. Gross lease assumes property tax/CAM included; inspect actual contract.</x:v>
      </x:c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48" customHeight="1">
      <x:c r="A301" s="1" t="str">
        <x:v>OPS-048</x:v>
      </x:c>
      <x:c r="B301" s="18" t="str">
        <x:v>Property tax pass-through</x:v>
      </x:c>
      <x:c r="C301" s="18" t="str">
        <x:v>Covered elsewhere</x:v>
      </x:c>
      <x:c r="D301" s="18" t="str">
        <x:v>OPS-046</x:v>
      </x:c>
      <x:c r="E301" s="18" t="str">
        <x:v>Covered by selected wage, gross lease, deliverable or reserve. Gross lease assumes property tax/CAM included; inspect actual contract.</x:v>
      </x:c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48" customHeight="1">
      <x:c r="A302" s="1" t="str">
        <x:v>OPS-063</x:v>
      </x:c>
      <x:c r="B302" s="18" t="str">
        <x:v>Routine janitorial service</x:v>
      </x:c>
      <x:c r="C302" s="18" t="str">
        <x:v>Covered elsewhere</x:v>
      </x:c>
      <x:c r="D302" s="18" t="str">
        <x:v>STA-14</x:v>
      </x:c>
      <x:c r="E302" s="18" t="str">
        <x:v>Covered by selected wage, gross lease, deliverable or reserve. Gross lease assumes property tax/CAM included; inspect actual contract.</x:v>
      </x:c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48" customHeight="1">
      <x:c r="A303" s="1" t="str">
        <x:v>OPS-074</x:v>
      </x:c>
      <x:c r="B303" s="18" t="str">
        <x:v>Roof maintenance</x:v>
      </x:c>
      <x:c r="C303" s="18" t="str">
        <x:v>Covered elsewhere</x:v>
      </x:c>
      <x:c r="D303" s="18" t="str">
        <x:v>RES-003</x:v>
      </x:c>
      <x:c r="E303" s="18" t="str">
        <x:v>Covered by selected wage, gross lease, deliverable or reserve. Gross lease assumes property tax/CAM included; inspect actual contract.</x:v>
      </x:c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48" customHeight="1">
      <x:c r="A304" s="1" t="str">
        <x:v>OPS-084</x:v>
      </x:c>
      <x:c r="B304" s="18" t="str">
        <x:v>Security monitoring</x:v>
      </x:c>
      <x:c r="C304" s="18" t="str">
        <x:v>Covered elsewhere</x:v>
      </x:c>
      <x:c r="D304" s="18" t="str">
        <x:v>OPS-070</x:v>
      </x:c>
      <x:c r="E304" s="18" t="str">
        <x:v>Covered by selected wage, gross lease, deliverable or reserve. Gross lease assumes property tax/CAM included; inspect actual contract.</x:v>
      </x:c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48" customHeight="1">
      <x:c r="A305" s="1" t="str">
        <x:v>OPS-102</x:v>
      </x:c>
      <x:c r="B305" s="18" t="str">
        <x:v>Cots</x:v>
      </x:c>
      <x:c r="C305" s="18" t="str">
        <x:v>Covered elsewhere</x:v>
      </x:c>
      <x:c r="D305" s="18" t="str">
        <x:v>OPS-101</x:v>
      </x:c>
      <x:c r="E305" s="18" t="str">
        <x:v>Covered by selected wage, gross lease, deliverable or reserve. Gross lease assumes property tax/CAM included; inspect actual contract.</x:v>
      </x:c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48" customHeight="1">
      <x:c r="A306" s="1" t="str">
        <x:v>OPS-126</x:v>
      </x:c>
      <x:c r="B306" s="18" t="str">
        <x:v>Bookkeeping service</x:v>
      </x:c>
      <x:c r="C306" s="18" t="str">
        <x:v>Covered elsewhere</x:v>
      </x:c>
      <x:c r="D306" s="18" t="str">
        <x:v>EXT-177</x:v>
      </x:c>
      <x:c r="E306" s="18" t="str">
        <x:v>Covered by selected wage, gross lease, deliverable or reserve. Gross lease assumes property tax/CAM included; inspect actual contract.</x:v>
      </x:c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48" customHeight="1">
      <x:c r="A307" s="1" t="str">
        <x:v>OPS-127</x:v>
      </x:c>
      <x:c r="B307" s="18" t="str">
        <x:v>Payroll processing</x:v>
      </x:c>
      <x:c r="C307" s="18" t="str">
        <x:v>Covered elsewhere</x:v>
      </x:c>
      <x:c r="D307" s="18" t="str">
        <x:v>OPS-025</x:v>
      </x:c>
      <x:c r="E307" s="18" t="str">
        <x:v>Covered by selected wage, gross lease, deliverable or reserve. Gross lease assumes property tax/CAM included; inspect actual contract.</x:v>
      </x:c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48" customHeight="1">
      <x:c r="A308" s="1" t="str">
        <x:v>OPS-131</x:v>
      </x:c>
      <x:c r="B308" s="18" t="str">
        <x:v>Office supplies</x:v>
      </x:c>
      <x:c r="C308" s="18" t="str">
        <x:v>Covered elsewhere</x:v>
      </x:c>
      <x:c r="D308" s="18" t="str">
        <x:v>ADD-PENS etc.</x:v>
      </x:c>
      <x:c r="E308" s="18" t="str">
        <x:v>Covered by selected wage, gross lease, deliverable or reserve. Gross lease assumes property tax/CAM included; inspect actual contract.</x:v>
      </x:c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48" customHeight="1">
      <x:c r="A309" s="1" t="str">
        <x:v>OPS-133</x:v>
      </x:c>
      <x:c r="B309" s="18" t="str">
        <x:v>Payment processor fees</x:v>
      </x:c>
      <x:c r="C309" s="18" t="str">
        <x:v>Covered elsewhere</x:v>
      </x:c>
      <x:c r="D309" s="18" t="str">
        <x:v>EXT-040</x:v>
      </x:c>
      <x:c r="E309" s="18" t="str">
        <x:v>Covered by selected wage, gross lease, deliverable or reserve. Gross lease assumes property tax/CAM included; inspect actual contract.</x:v>
      </x:c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48" customHeight="1">
      <x:c r="A310" s="1" t="str">
        <x:v>OPS-135</x:v>
      </x:c>
      <x:c r="B310" s="18" t="str">
        <x:v>Document storage</x:v>
      </x:c>
      <x:c r="C310" s="18" t="str">
        <x:v>Covered elsewhere</x:v>
      </x:c>
      <x:c r="D310" s="18" t="str">
        <x:v>EXT-014</x:v>
      </x:c>
      <x:c r="E310" s="18" t="str">
        <x:v>Covered by selected wage, gross lease, deliverable or reserve. Gross lease assumes property tax/CAM included; inspect actual contract.</x:v>
      </x:c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48" customHeight="1">
      <x:c r="A311" s="1" t="str">
        <x:v>OPS-138</x:v>
      </x:c>
      <x:c r="B311" s="18" t="str">
        <x:v>Scheduling software</x:v>
      </x:c>
      <x:c r="C311" s="18" t="str">
        <x:v>Covered elsewhere</x:v>
      </x:c>
      <x:c r="D311" s="18" t="str">
        <x:v>ADD-SCHEDULE</x:v>
      </x:c>
      <x:c r="E311" s="18" t="str">
        <x:v>Covered by selected wage, gross lease, deliverable or reserve. Gross lease assumes property tax/CAM included; inspect actual contract.</x:v>
      </x:c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48" customHeight="1">
      <x:c r="A312" s="1" t="str">
        <x:v>OPS-143</x:v>
      </x:c>
      <x:c r="B312" s="18" t="str">
        <x:v>Data entry</x:v>
      </x:c>
      <x:c r="C312" s="18" t="str">
        <x:v>Covered elsewhere</x:v>
      </x:c>
      <x:c r="D312" s="18" t="str">
        <x:v>STA-13</x:v>
      </x:c>
      <x:c r="E312" s="18" t="str">
        <x:v>Covered by selected wage, gross lease, deliverable or reserve. Gross lease assumes property tax/CAM included; inspect actual contract.</x:v>
      </x:c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48" customHeight="1">
      <x:c r="A313" s="1" t="str">
        <x:v>OPS-144</x:v>
      </x:c>
      <x:c r="B313" s="18" t="str">
        <x:v>Records retention</x:v>
      </x:c>
      <x:c r="C313" s="18" t="str">
        <x:v>Covered elsewhere</x:v>
      </x:c>
      <x:c r="D313" s="18" t="str">
        <x:v>PLA-050</x:v>
      </x:c>
      <x:c r="E313" s="18" t="str">
        <x:v>Covered by selected wage, gross lease, deliverable or reserve. Gross lease assumes property tax/CAM included; inspect actual contract.</x:v>
      </x:c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48" customHeight="1">
      <x:c r="A314" s="1" t="str">
        <x:v>OPS-145</x:v>
      </x:c>
      <x:c r="B314" s="18" t="str">
        <x:v>Education curriculum reviewer</x:v>
      </x:c>
      <x:c r="C314" s="18" t="str">
        <x:v>Covered elsewhere</x:v>
      </x:c>
      <x:c r="D314" s="18" t="str">
        <x:v>CNT-050</x:v>
      </x:c>
      <x:c r="E314" s="18" t="str">
        <x:v>Covered by selected wage, gross lease, deliverable or reserve. Gross lease assumes property tax/CAM included; inspect actual contract.</x:v>
      </x:c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48" customHeight="1">
      <x:c r="A315" s="1" t="str">
        <x:v>OPS-146</x:v>
      </x:c>
      <x:c r="B315" s="18" t="str">
        <x:v>Registered nurse reviewer</x:v>
      </x:c>
      <x:c r="C315" s="18" t="str">
        <x:v>Covered elsewhere</x:v>
      </x:c>
      <x:c r="D315" s="18" t="str">
        <x:v>CNT-051</x:v>
      </x:c>
      <x:c r="E315" s="18" t="str">
        <x:v>Covered by selected wage, gross lease, deliverable or reserve. Gross lease assumes property tax/CAM included; inspect actual contract.</x:v>
      </x:c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48" customHeight="1">
      <x:c r="A316" s="1" t="str">
        <x:v>OPS-149</x:v>
      </x:c>
      <x:c r="B316" s="18" t="str">
        <x:v>Accessibility reviewer</x:v>
      </x:c>
      <x:c r="C316" s="18" t="str">
        <x:v>Covered elsewhere</x:v>
      </x:c>
      <x:c r="D316" s="18" t="str">
        <x:v>EXT-026</x:v>
      </x:c>
      <x:c r="E316" s="18" t="str">
        <x:v>Covered by selected wage, gross lease, deliverable or reserve. Gross lease assumes property tax/CAM included; inspect actual contract.</x:v>
      </x:c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48" customHeight="1">
      <x:c r="A317" s="1" t="str">
        <x:v>OPS-150</x:v>
      </x:c>
      <x:c r="B317" s="18" t="str">
        <x:v>Security assessor</x:v>
      </x:c>
      <x:c r="C317" s="18" t="str">
        <x:v>Covered elsewhere</x:v>
      </x:c>
      <x:c r="D317" s="18" t="str">
        <x:v>EXT-023</x:v>
      </x:c>
      <x:c r="E317" s="18" t="str">
        <x:v>Covered by selected wage, gross lease, deliverable or reserve. Gross lease assumes property tax/CAM included; inspect actual contract.</x:v>
      </x:c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48" customHeight="1">
      <x:c r="A318" s="1" t="str">
        <x:v>OPS-151</x:v>
      </x:c>
      <x:c r="B318" s="18" t="str">
        <x:v>Insurance broker fee</x:v>
      </x:c>
      <x:c r="C318" s="18" t="str">
        <x:v>Covered elsewhere</x:v>
      </x:c>
      <x:c r="D318" s="18" t="str">
        <x:v>OPS-059</x:v>
      </x:c>
      <x:c r="E318" s="18" t="str">
        <x:v>Covered by selected wage, gross lease, deliverable or reserve. Gross lease assumes property tax/CAM included; inspect actual contract.</x:v>
      </x:c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48" customHeight="1">
      <x:c r="A319" s="1" t="str">
        <x:v>OPS-153</x:v>
      </x:c>
      <x:c r="B319" s="18" t="str">
        <x:v>Graphic designer</x:v>
      </x:c>
      <x:c r="C319" s="18" t="str">
        <x:v>Covered elsewhere</x:v>
      </x:c>
      <x:c r="D319" s="18" t="str">
        <x:v>CNT-089</x:v>
      </x:c>
      <x:c r="E319" s="18" t="str">
        <x:v>Covered by selected wage, gross lease, deliverable or reserve. Gross lease assumes property tax/CAM included; inspect actual contract.</x:v>
      </x:c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48" customHeight="1">
      <x:c r="A320" s="1" t="str">
        <x:v>OPS-154</x:v>
      </x:c>
      <x:c r="B320" s="18" t="str">
        <x:v>Photographer</x:v>
      </x:c>
      <x:c r="C320" s="18" t="str">
        <x:v>Covered elsewhere</x:v>
      </x:c>
      <x:c r="D320" s="18" t="str">
        <x:v>MKT-012</x:v>
      </x:c>
      <x:c r="E320" s="18" t="str">
        <x:v>Covered by selected wage, gross lease, deliverable or reserve. Gross lease assumes property tax/CAM included; inspect actual contract.</x:v>
      </x:c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48" customHeight="1">
      <x:c r="A321" s="1" t="str">
        <x:v>OPS-155</x:v>
      </x:c>
      <x:c r="B321" s="18" t="str">
        <x:v>Video producer</x:v>
      </x:c>
      <x:c r="C321" s="18" t="str">
        <x:v>Covered elsewhere</x:v>
      </x:c>
      <x:c r="D321" s="18" t="str">
        <x:v>CNT-062</x:v>
      </x:c>
      <x:c r="E321" s="18" t="str">
        <x:v>Covered by selected wage, gross lease, deliverable or reserve. Gross lease assumes property tax/CAM included; inspect actual contract.</x:v>
      </x:c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48" customHeight="1">
      <x:c r="A322" s="1" t="str">
        <x:v>OPS-156</x:v>
      </x:c>
      <x:c r="B322" s="18" t="str">
        <x:v>Translation reviewer</x:v>
      </x:c>
      <x:c r="C322" s="18" t="str">
        <x:v>Covered elsewhere</x:v>
      </x:c>
      <x:c r="D322" s="18" t="str">
        <x:v>CNT-079</x:v>
      </x:c>
      <x:c r="E322" s="18" t="str">
        <x:v>Covered by selected wage, gross lease, deliverable or reserve. Gross lease assumes property tax/CAM included; inspect actual contract.</x:v>
      </x:c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48" customHeight="1">
      <x:c r="A323" s="1" t="str">
        <x:v>OPS-158</x:v>
      </x:c>
      <x:c r="B323" s="18" t="str">
        <x:v>Tax advisor</x:v>
      </x:c>
      <x:c r="C323" s="18" t="str">
        <x:v>Covered elsewhere</x:v>
      </x:c>
      <x:c r="D323" s="18" t="str">
        <x:v>OPS-128</x:v>
      </x:c>
      <x:c r="E323" s="18" t="str">
        <x:v>Covered by selected wage, gross lease, deliverable or reserve. Gross lease assumes property tax/CAM included; inspect actual contract.</x:v>
      </x:c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48" customHeight="1">
      <x:c r="A324" s="1" t="str">
        <x:v>OPS-167</x:v>
      </x:c>
      <x:c r="B324" s="18" t="str">
        <x:v>Operating cash reserve</x:v>
      </x:c>
      <x:c r="C324" s="18" t="str">
        <x:v>Covered elsewhere</x:v>
      </x:c>
      <x:c r="D324" s="18" t="str">
        <x:v>RES-001</x:v>
      </x:c>
      <x:c r="E324" s="18" t="str">
        <x:v>Covered by selected wage, gross lease, deliverable or reserve. Gross lease assumes property tax/CAM included; inspect actual contract.</x:v>
      </x:c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48" customHeight="1">
      <x:c r="A325" s="1" t="str">
        <x:v>OPS-168</x:v>
      </x:c>
      <x:c r="B325" s="18" t="str">
        <x:v>Facility repair reserve</x:v>
      </x:c>
      <x:c r="C325" s="18" t="str">
        <x:v>Covered elsewhere</x:v>
      </x:c>
      <x:c r="D325" s="18" t="str">
        <x:v>RES-003</x:v>
      </x:c>
      <x:c r="E325" s="18" t="str">
        <x:v>Covered by selected wage, gross lease, deliverable or reserve. Gross lease assumes property tax/CAM included; inspect actual contract.</x:v>
      </x:c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48" customHeight="1">
      <x:c r="A326" s="1" t="str">
        <x:v>OPS-169</x:v>
      </x:c>
      <x:c r="B326" s="18" t="str">
        <x:v>Equipment replacement reserve</x:v>
      </x:c>
      <x:c r="C326" s="18" t="str">
        <x:v>Covered elsewhere</x:v>
      </x:c>
      <x:c r="D326" s="18" t="str">
        <x:v>RES-003</x:v>
      </x:c>
      <x:c r="E326" s="18" t="str">
        <x:v>Covered by selected wage, gross lease, deliverable or reserve. Gross lease assumes property tax/CAM included; inspect actual contract.</x:v>
      </x:c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48" customHeight="1">
      <x:c r="A327" s="1" t="str">
        <x:v>OPS-170</x:v>
      </x:c>
      <x:c r="B327" s="18" t="str">
        <x:v>Emergency payroll reserve</x:v>
      </x:c>
      <x:c r="C327" s="18" t="str">
        <x:v>Covered elsewhere</x:v>
      </x:c>
      <x:c r="D327" s="18" t="str">
        <x:v>RES-001</x:v>
      </x:c>
      <x:c r="E327" s="18" t="str">
        <x:v>Covered by selected wage, gross lease, deliverable or reserve. Gross lease assumes property tax/CAM included; inspect actual contract.</x:v>
      </x:c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48" customHeight="1">
      <x:c r="A328" s="1" t="str">
        <x:v>OPS-171</x:v>
      </x:c>
      <x:c r="B328" s="18" t="str">
        <x:v>Insurance deductible reserve</x:v>
      </x:c>
      <x:c r="C328" s="18" t="str">
        <x:v>Covered elsewhere</x:v>
      </x:c>
      <x:c r="D328" s="18" t="str">
        <x:v>RES-003</x:v>
      </x:c>
      <x:c r="E328" s="18" t="str">
        <x:v>Covered by selected wage, gross lease, deliverable or reserve. Gross lease assumes property tax/CAM included; inspect actual contract.</x:v>
      </x:c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48" customHeight="1">
      <x:c r="A329" s="1" t="str">
        <x:v>OPS-172</x:v>
      </x:c>
      <x:c r="B329" s="18" t="str">
        <x:v>Technology replacement reserve</x:v>
      </x:c>
      <x:c r="C329" s="18" t="str">
        <x:v>Covered elsewhere</x:v>
      </x:c>
      <x:c r="D329" s="18" t="str">
        <x:v>RES-003</x:v>
      </x:c>
      <x:c r="E329" s="18" t="str">
        <x:v>Covered by selected wage, gross lease, deliverable or reserve. Gross lease assumes property tax/CAM included; inspect actual contract.</x:v>
      </x:c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48" customHeight="1">
      <x:c r="A330" s="1" t="str">
        <x:v>OPS-173</x:v>
      </x:c>
      <x:c r="B330" s="18" t="str">
        <x:v>Food price reserve</x:v>
      </x:c>
      <x:c r="C330" s="18" t="str">
        <x:v>Covered elsewhere</x:v>
      </x:c>
      <x:c r="D330" s="18" t="str">
        <x:v>RES-001</x:v>
      </x:c>
      <x:c r="E330" s="18" t="str">
        <x:v>Covered by selected wage, gross lease, deliverable or reserve. Gross lease assumes property tax/CAM included; inspect actual contract.</x:v>
      </x:c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48" customHeight="1">
      <x:c r="A331" s="1" t="str">
        <x:v>OPS-174</x:v>
      </x:c>
      <x:c r="B331" s="18" t="str">
        <x:v>Enrollment ramp reserve</x:v>
      </x:c>
      <x:c r="C331" s="18" t="str">
        <x:v>Covered elsewhere</x:v>
      </x:c>
      <x:c r="D331" s="18" t="str">
        <x:v>RES-001</x:v>
      </x:c>
      <x:c r="E331" s="18" t="str">
        <x:v>Covered by selected wage, gross lease, deliverable or reserve. Gross lease assumes property tax/CAM included; inspect actual contract.</x:v>
      </x:c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48" customHeight="1">
      <x:c r="A332" s="1" t="str">
        <x:v>OPS-175</x:v>
      </x:c>
      <x:c r="B332" s="18" t="str">
        <x:v>Weather closure reserve</x:v>
      </x:c>
      <x:c r="C332" s="18" t="str">
        <x:v>Covered elsewhere</x:v>
      </x:c>
      <x:c r="D332" s="18" t="str">
        <x:v>RES-001</x:v>
      </x:c>
      <x:c r="E332" s="18" t="str">
        <x:v>Covered by selected wage, gross lease, deliverable or reserve. Gross lease assumes property tax/CAM included; inspect actual contract.</x:v>
      </x:c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48" customHeight="1">
      <x:c r="A333" s="1" t="str">
        <x:v>OPS-022</x:v>
      </x:c>
      <x:c r="B333" s="18" t="str">
        <x:v>Agency placement fee</x:v>
      </x:c>
      <x:c r="C333" s="18" t="str">
        <x:v>Outside selected scenario</x:v>
      </x:c>
      <x:c r="D333" s="18" t="str"/>
      <x:c r="E333" s="18" t="str">
        <x:v>Direct recruiting selected; no staffing-agency placement fee.</x:v>
      </x:c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48" customHeight="1">
      <x:c r="A334" s="1" t="str">
        <x:v>OPS-159</x:v>
      </x:c>
      <x:c r="B334" s="18" t="str">
        <x:v>Field trip transportation</x:v>
      </x:c>
      <x:c r="C334" s="18" t="str">
        <x:v>Outside selected scenario</x:v>
      </x:c>
      <x:c r="D334" s="18" t="str"/>
      <x:c r="E334" s="18" t="str">
        <x:v>No owned vehicle or field-trip transport in one-site launch. Add full transport budget if service introduced.</x:v>
      </x:c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48" customHeight="1">
      <x:c r="A335" s="1" t="str">
        <x:v>OPS-160</x:v>
      </x:c>
      <x:c r="B335" s="18" t="str">
        <x:v>Vehicle lease or purchase</x:v>
      </x:c>
      <x:c r="C335" s="18" t="str">
        <x:v>Outside selected scenario</x:v>
      </x:c>
      <x:c r="D335" s="18" t="str"/>
      <x:c r="E335" s="18" t="str">
        <x:v>No owned vehicle or field-trip transport in one-site launch. Add full transport budget if service introduced.</x:v>
      </x:c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48" customHeight="1">
      <x:c r="A336" s="1" t="str">
        <x:v>OPS-161</x:v>
      </x:c>
      <x:c r="B336" s="18" t="str">
        <x:v>Vehicle insurance</x:v>
      </x:c>
      <x:c r="C336" s="18" t="str">
        <x:v>Outside selected scenario</x:v>
      </x:c>
      <x:c r="D336" s="18" t="str"/>
      <x:c r="E336" s="18" t="str">
        <x:v>No owned vehicle or field-trip transport in one-site launch. Add full transport budget if service introduced.</x:v>
      </x:c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48" customHeight="1">
      <x:c r="A337" s="1" t="str">
        <x:v>OPS-162</x:v>
      </x:c>
      <x:c r="B337" s="18" t="str">
        <x:v>Fuel</x:v>
      </x:c>
      <x:c r="C337" s="18" t="str">
        <x:v>Outside selected scenario</x:v>
      </x:c>
      <x:c r="D337" s="18" t="str"/>
      <x:c r="E337" s="18" t="str">
        <x:v>No owned vehicle or field-trip transport in one-site launch. Add full transport budget if service introduced.</x:v>
      </x:c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48" customHeight="1">
      <x:c r="A338" s="1" t="str">
        <x:v>OPS-163</x:v>
      </x:c>
      <x:c r="B338" s="18" t="str">
        <x:v>Vehicle maintenance</x:v>
      </x:c>
      <x:c r="C338" s="18" t="str">
        <x:v>Outside selected scenario</x:v>
      </x:c>
      <x:c r="D338" s="18" t="str"/>
      <x:c r="E338" s="18" t="str">
        <x:v>No owned vehicle or field-trip transport in one-site launch. Add full transport budget if service introduced.</x:v>
      </x:c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48" customHeight="1">
      <x:c r="A339" s="1" t="str">
        <x:v>OPS-164</x:v>
      </x:c>
      <x:c r="B339" s="18" t="str">
        <x:v>Driver training</x:v>
      </x:c>
      <x:c r="C339" s="18" t="str">
        <x:v>Outside selected scenario</x:v>
      </x:c>
      <x:c r="D339" s="18" t="str"/>
      <x:c r="E339" s="18" t="str">
        <x:v>No owned vehicle or field-trip transport in one-site launch. Add full transport budget if service introduced.</x:v>
      </x:c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48" customHeight="1">
      <x:c r="A340" s="1" t="str">
        <x:v>OPS-165</x:v>
      </x:c>
      <x:c r="B340" s="18" t="str">
        <x:v>Parking</x:v>
      </x:c>
      <x:c r="C340" s="18" t="str">
        <x:v>Outside selected scenario</x:v>
      </x:c>
      <x:c r="D340" s="18" t="str"/>
      <x:c r="E340" s="18" t="str">
        <x:v>No owned vehicle or field-trip transport in one-site launch. Add full transport budget if service introduced.</x:v>
      </x:c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48" customHeight="1">
      <x:c r="A341" s="1" t="str">
        <x:v>OPS-166</x:v>
      </x:c>
      <x:c r="B341" s="18" t="str">
        <x:v>Toll charges</x:v>
      </x:c>
      <x:c r="C341" s="18" t="str">
        <x:v>Outside selected scenario</x:v>
      </x:c>
      <x:c r="D341" s="18" t="str"/>
      <x:c r="E341" s="18" t="str">
        <x:v>No owned vehicle or field-trip transport in one-site launch. Add full transport budget if service introduced.</x:v>
      </x:c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48" customHeight="1">
      <x:c r="A342" s="1" t="str">
        <x:v>OPS-130</x:v>
      </x:c>
      <x:c r="B342" s="18" t="str">
        <x:v>Licensing or permit fees</x:v>
      </x:c>
      <x:c r="C342" s="18" t="str">
        <x:v>Covered elsewhere</x:v>
      </x:c>
      <x:c r="D342" s="18" t="str">
        <x:v>ADD-PERMIT-*</x:v>
      </x:c>
      <x:c r="E342" s="18" t="str">
        <x:v>Replaced generic basket with individual jurisdiction-specific fees and conditional allowances.</x:v>
      </x:c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48" customHeight="1">
      <x:c r="A343" s="1" t="str">
        <x:v>EXT-004</x:v>
      </x:c>
      <x:c r="B343" s="18" t="str">
        <x:v>Domain registration and renewal</x:v>
      </x:c>
      <x:c r="C343" s="18" t="str">
        <x:v>Selected</x:v>
      </x:c>
      <x:c r="D343" s="18" t="str">
        <x:v>EXT-004</x:v>
      </x:c>
      <x:c r="E343" s="18" t="str">
        <x:v>Assumed usage/quantity; vendor pricing only verified for specific named unit. Taxes, freight and overhead listed separately.</x:v>
      </x:c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48" customHeight="1">
      <x:c r="A344" s="1" t="str">
        <x:v>EXT-006</x:v>
      </x:c>
      <x:c r="B344" s="18" t="str">
        <x:v>DigitalOcean application compute</x:v>
      </x:c>
      <x:c r="C344" s="18" t="str">
        <x:v>Selected</x:v>
      </x:c>
      <x:c r="D344" s="18" t="str">
        <x:v>EXT-006</x:v>
      </x:c>
      <x:c r="E344" s="18" t="str">
        <x:v>Two environments ×12 months. $48/server/month configuration allowance.</x:v>
      </x:c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48" customHeight="1">
      <x:c r="A345" s="1" t="str">
        <x:v>EXT-008</x:v>
      </x:c>
      <x:c r="B345" s="18" t="str">
        <x:v>Supabase production subscription</x:v>
      </x:c>
      <x:c r="C345" s="18" t="str">
        <x:v>Selected</x:v>
      </x:c>
      <x:c r="D345" s="18" t="str">
        <x:v>EXT-008</x:v>
      </x:c>
      <x:c r="E345" s="18" t="str">
        <x:v>Two separate Pro organizations ×12 months, one staging and one production, each with its own $10 monthly compute credit.</x:v>
      </x:c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48" customHeight="1">
      <x:c r="A346" s="1" t="str">
        <x:v>EXT-009</x:v>
      </x:c>
      <x:c r="B346" s="18" t="str">
        <x:v>Supabase compute overage</x:v>
      </x:c>
      <x:c r="C346" s="18" t="str">
        <x:v>Selected</x:v>
      </x:c>
      <x:c r="D346" s="18" t="str">
        <x:v>EXT-009</x:v>
      </x:c>
      <x:c r="E346" s="18" t="str">
        <x:v>Two Small compute instances ×12 months: $15 each less the separate organization credit of $10. Not a second credit within one organization.</x:v>
      </x:c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48" customHeight="1">
      <x:c r="A347" s="1" t="str">
        <x:v>EXT-011</x:v>
      </x:c>
      <x:c r="B347" s="18" t="str">
        <x:v>Private object storage overage</x:v>
      </x:c>
      <x:c r="C347" s="18" t="str">
        <x:v>Selected</x:v>
      </x:c>
      <x:c r="D347" s="18" t="str">
        <x:v>EXT-011</x:v>
      </x:c>
      <x:c r="E347" s="18" t="str">
        <x:v>Assumed usage/quantity; vendor pricing only verified for specific named unit. Taxes, freight and overhead listed separately.</x:v>
      </x:c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48" customHeight="1">
      <x:c r="A348" s="1" t="str">
        <x:v>EXT-013</x:v>
      </x:c>
      <x:c r="B348" s="18" t="str">
        <x:v>Database point-in-time recovery subscription</x:v>
      </x:c>
      <x:c r="C348" s="18" t="str">
        <x:v>Selected</x:v>
      </x:c>
      <x:c r="D348" s="18" t="str">
        <x:v>EXT-013</x:v>
      </x:c>
      <x:c r="E348" s="18" t="str">
        <x:v>Assumed usage/quantity; vendor pricing only verified for specific named unit. Taxes, freight and overhead listed separately.</x:v>
      </x:c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48" customHeight="1">
      <x:c r="A349" s="1" t="str">
        <x:v>EXT-014</x:v>
      </x:c>
      <x:c r="B349" s="18" t="str">
        <x:v>Independent object-file backup storage</x:v>
      </x:c>
      <x:c r="C349" s="18" t="str">
        <x:v>Selected</x:v>
      </x:c>
      <x:c r="D349" s="18" t="str">
        <x:v>EXT-014</x:v>
      </x:c>
      <x:c r="E349" s="18" t="str">
        <x:v>Assumed usage/quantity; vendor pricing only verified for specific named unit. Taxes, freight and overhead listed separately.</x:v>
      </x:c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48" customHeight="1">
      <x:c r="A350" s="1" t="str">
        <x:v>EXT-016</x:v>
      </x:c>
      <x:c r="B350" s="18" t="str">
        <x:v>Restore drill labor</x:v>
      </x:c>
      <x:c r="C350" s="18" t="str">
        <x:v>Selected</x:v>
      </x:c>
      <x:c r="D350" s="18" t="str">
        <x:v>EXT-016</x:v>
      </x:c>
      <x:c r="E350" s="18" t="str">
        <x:v>Assumed usage/quantity; vendor pricing only verified for specific named unit. Taxes, freight and overhead listed separately.</x:v>
      </x:c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48" customHeight="1">
      <x:c r="A351" s="1" t="str">
        <x:v>EXT-018</x:v>
      </x:c>
      <x:c r="B351" s="18" t="str">
        <x:v>Monitoring subscription</x:v>
      </x:c>
      <x:c r="C351" s="18" t="str">
        <x:v>Selected</x:v>
      </x:c>
      <x:c r="D351" s="18" t="str">
        <x:v>EXT-018</x:v>
      </x:c>
      <x:c r="E351" s="18" t="str">
        <x:v>Assumed usage/quantity; vendor pricing only verified for specific named unit. Taxes, freight and overhead listed separately.</x:v>
      </x:c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48" customHeight="1">
      <x:c r="A352" s="1" t="str">
        <x:v>EXT-019</x:v>
      </x:c>
      <x:c r="B352" s="18" t="str">
        <x:v>Error reporting subscription</x:v>
      </x:c>
      <x:c r="C352" s="18" t="str">
        <x:v>Selected</x:v>
      </x:c>
      <x:c r="D352" s="18" t="str">
        <x:v>EXT-019</x:v>
      </x:c>
      <x:c r="E352" s="18" t="str">
        <x:v>Assumed usage/quantity; vendor pricing only verified for specific named unit. Taxes, freight and overhead listed separately.</x:v>
      </x:c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48" customHeight="1">
      <x:c r="A353" s="1" t="str">
        <x:v>EXT-020</x:v>
      </x:c>
      <x:c r="B353" s="18" t="str">
        <x:v>Incident on-call coverage</x:v>
      </x:c>
      <x:c r="C353" s="18" t="str">
        <x:v>Selected</x:v>
      </x:c>
      <x:c r="D353" s="18" t="str">
        <x:v>EXT-020</x:v>
      </x:c>
      <x:c r="E353" s="18" t="str">
        <x:v>Infrastructure-only retainer: OS/container patching, monitoring triage and deployment supervision. Excludes application fixes, ATS and separate recovery drills.</x:v>
      </x:c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48" customHeight="1">
      <x:c r="A354" s="1" t="str">
        <x:v>EXT-021</x:v>
      </x:c>
      <x:c r="B354" s="18" t="str">
        <x:v>Dependency patching labor</x:v>
      </x:c>
      <x:c r="C354" s="18" t="str">
        <x:v>Selected</x:v>
      </x:c>
      <x:c r="D354" s="18" t="str">
        <x:v>EXT-021</x:v>
      </x:c>
      <x:c r="E354" s="18" t="str">
        <x:v>Application maintenance excluding ATS-specific work and infrastructure retainer; 16h/month assumption.</x:v>
      </x:c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48" customHeight="1">
      <x:c r="A355" s="1" t="str">
        <x:v>EXT-022</x:v>
      </x:c>
      <x:c r="B355" s="18" t="str">
        <x:v>Secret rotation labor</x:v>
      </x:c>
      <x:c r="C355" s="18" t="str">
        <x:v>Selected</x:v>
      </x:c>
      <x:c r="D355" s="18" t="str">
        <x:v>EXT-022</x:v>
      </x:c>
      <x:c r="E355" s="18" t="str">
        <x:v>Scheduled secrets/credential rotation only; not included in retainer assumption.</x:v>
      </x:c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48" customHeight="1">
      <x:c r="A356" s="1" t="str">
        <x:v>EXT-023</x:v>
      </x:c>
      <x:c r="B356" s="18" t="str">
        <x:v>Manual penetration test</x:v>
      </x:c>
      <x:c r="C356" s="18" t="str">
        <x:v>Selected</x:v>
      </x:c>
      <x:c r="D356" s="18" t="str">
        <x:v>EXT-023</x:v>
      </x:c>
      <x:c r="E356" s="18" t="str">
        <x:v>Assumed usage/quantity; vendor pricing only verified for specific named unit. Taxes, freight and overhead listed separately.</x:v>
      </x:c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48" customHeight="1">
      <x:c r="A357" s="1" t="str">
        <x:v>EXT-024</x:v>
      </x:c>
      <x:c r="B357" s="18" t="str">
        <x:v>Independent penetration-test retest</x:v>
      </x:c>
      <x:c r="C357" s="18" t="str">
        <x:v>Selected</x:v>
      </x:c>
      <x:c r="D357" s="18" t="str">
        <x:v>EXT-024</x:v>
      </x:c>
      <x:c r="E357" s="18" t="str">
        <x:v>Assumed usage/quantity; vendor pricing only verified for specific named unit. Taxes, freight and overhead listed separately.</x:v>
      </x:c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48" customHeight="1">
      <x:c r="A358" s="1" t="str">
        <x:v>EXT-026</x:v>
      </x:c>
      <x:c r="B358" s="18" t="str">
        <x:v>Accessibility audit</x:v>
      </x:c>
      <x:c r="C358" s="18" t="str">
        <x:v>Selected</x:v>
      </x:c>
      <x:c r="D358" s="18" t="str">
        <x:v>EXT-026</x:v>
      </x:c>
      <x:c r="E358" s="18" t="str">
        <x:v>Assumed usage/quantity; vendor pricing only verified for specific named unit. Taxes, freight and overhead listed separately.</x:v>
      </x:c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48" customHeight="1">
      <x:c r="A359" s="1" t="str">
        <x:v>EXT-031</x:v>
      </x:c>
      <x:c r="B359" s="18" t="str">
        <x:v>Transactional email subscription</x:v>
      </x:c>
      <x:c r="C359" s="18" t="str">
        <x:v>Selected</x:v>
      </x:c>
      <x:c r="D359" s="18" t="str">
        <x:v>EXT-031</x:v>
      </x:c>
      <x:c r="E359" s="18" t="str">
        <x:v>Assumed usage/quantity; vendor pricing only verified for specific named unit. Taxes, freight and overhead listed separately.</x:v>
      </x:c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48" customHeight="1">
      <x:c r="A360" s="1" t="str">
        <x:v>EXT-033</x:v>
      </x:c>
      <x:c r="B360" s="18" t="str">
        <x:v>SMS phone-number rental</x:v>
      </x:c>
      <x:c r="C360" s="18" t="str">
        <x:v>Selected</x:v>
      </x:c>
      <x:c r="D360" s="18" t="str">
        <x:v>EXT-033</x:v>
      </x:c>
      <x:c r="E360" s="18" t="str">
        <x:v>Assumed usage/quantity; vendor pricing only verified for specific named unit. Taxes, freight and overhead listed separately.</x:v>
      </x:c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48" customHeight="1">
      <x:c r="A361" s="1" t="str">
        <x:v>EXT-034</x:v>
      </x:c>
      <x:c r="B361" s="18" t="str">
        <x:v>SMS outbound segments</x:v>
      </x:c>
      <x:c r="C361" s="18" t="str">
        <x:v>Selected</x:v>
      </x:c>
      <x:c r="D361" s="18" t="str">
        <x:v>EXT-034</x:v>
      </x:c>
      <x:c r="E361" s="18" t="str">
        <x:v>Assumed usage/quantity; vendor pricing only verified for specific named unit. Taxes, freight and overhead listed separately.</x:v>
      </x:c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48" customHeight="1">
      <x:c r="A362" s="1" t="str">
        <x:v>EXT-035</x:v>
      </x:c>
      <x:c r="B362" s="18" t="str">
        <x:v>SMS inbound segments</x:v>
      </x:c>
      <x:c r="C362" s="18" t="str">
        <x:v>Selected</x:v>
      </x:c>
      <x:c r="D362" s="18" t="str">
        <x:v>EXT-035</x:v>
      </x:c>
      <x:c r="E362" s="18" t="str">
        <x:v>Assumed usage/quantity; vendor pricing only verified for specific named unit. Taxes, freight and overhead listed separately.</x:v>
      </x:c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48" customHeight="1">
      <x:c r="A363" s="1" t="str">
        <x:v>EXT-036</x:v>
      </x:c>
      <x:c r="B363" s="18" t="str">
        <x:v>SMS carrier surcharges</x:v>
      </x:c>
      <x:c r="C363" s="18" t="str">
        <x:v>Selected</x:v>
      </x:c>
      <x:c r="D363" s="18" t="str">
        <x:v>EXT-036</x:v>
      </x:c>
      <x:c r="E363" s="18" t="str">
        <x:v>Assumed usage/quantity; vendor pricing only verified for specific named unit. Taxes, freight and overhead listed separately.</x:v>
      </x:c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48" customHeight="1">
      <x:c r="A364" s="1" t="str">
        <x:v>EXT-037</x:v>
      </x:c>
      <x:c r="B364" s="18" t="str">
        <x:v>A2P brand registration</x:v>
      </x:c>
      <x:c r="C364" s="18" t="str">
        <x:v>Selected</x:v>
      </x:c>
      <x:c r="D364" s="18" t="str">
        <x:v>EXT-037</x:v>
      </x:c>
      <x:c r="E364" s="18" t="str">
        <x:v>Assumed usage/quantity; vendor pricing only verified for specific named unit. Taxes, freight and overhead listed separately.</x:v>
      </x:c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48" customHeight="1">
      <x:c r="A365" s="1" t="str">
        <x:v>EXT-038</x:v>
      </x:c>
      <x:c r="B365" s="18" t="str">
        <x:v>A2P campaign registration and renewal</x:v>
      </x:c>
      <x:c r="C365" s="18" t="str">
        <x:v>Selected</x:v>
      </x:c>
      <x:c r="D365" s="18" t="str">
        <x:v>EXT-038</x:v>
      </x:c>
      <x:c r="E365" s="18" t="str">
        <x:v>Assumed usage/quantity; vendor pricing only verified for specific named unit. Taxes, freight and overhead listed separately.</x:v>
      </x:c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48" customHeight="1">
      <x:c r="A366" s="1" t="str">
        <x:v>EXT-040</x:v>
      </x:c>
      <x:c r="B366" s="18" t="str">
        <x:v>Card percentage processing fee</x:v>
      </x:c>
      <x:c r="C366" s="18" t="str">
        <x:v>Selected</x:v>
      </x:c>
      <x:c r="D366" s="18" t="str">
        <x:v>EXT-040</x:v>
      </x:c>
      <x:c r="E366" s="18" t="str">
        <x:v>Assumed usage/quantity; vendor pricing only verified for specific named unit. Taxes, freight and overhead listed separately.</x:v>
      </x:c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48" customHeight="1">
      <x:c r="A367" s="1" t="str">
        <x:v>EXT-041</x:v>
      </x:c>
      <x:c r="B367" s="18" t="str">
        <x:v>Card fixed transaction fee</x:v>
      </x:c>
      <x:c r="C367" s="18" t="str">
        <x:v>Selected</x:v>
      </x:c>
      <x:c r="D367" s="18" t="str">
        <x:v>EXT-041</x:v>
      </x:c>
      <x:c r="E367" s="18" t="str">
        <x:v>Assumed usage/quantity; vendor pricing only verified for specific named unit. Taxes, freight and overhead listed separately.</x:v>
      </x:c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48" customHeight="1">
      <x:c r="A368" s="1" t="str">
        <x:v>EXT-042</x:v>
      </x:c>
      <x:c r="B368" s="18" t="str">
        <x:v>Subscription billing fee</x:v>
      </x:c>
      <x:c r="C368" s="18" t="str">
        <x:v>Selected</x:v>
      </x:c>
      <x:c r="D368" s="18" t="str">
        <x:v>EXT-042</x:v>
      </x:c>
      <x:c r="E368" s="18" t="str">
        <x:v>Assumed usage/quantity; vendor pricing only verified for specific named unit. Taxes, freight and overhead listed separately.</x:v>
      </x:c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48" customHeight="1">
      <x:c r="A369" s="1" t="str">
        <x:v>EXT-043</x:v>
      </x:c>
      <x:c r="B369" s="18" t="str">
        <x:v>Dispute and chargeback fee</x:v>
      </x:c>
      <x:c r="C369" s="18" t="str">
        <x:v>Selected</x:v>
      </x:c>
      <x:c r="D369" s="18" t="str">
        <x:v>EXT-043</x:v>
      </x:c>
      <x:c r="E369" s="18" t="str">
        <x:v>Assumed usage/quantity; vendor pricing only verified for specific named unit. Taxes, freight and overhead listed separately.</x:v>
      </x:c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48" customHeight="1">
      <x:c r="A370" s="1" t="str">
        <x:v>EXT-046</x:v>
      </x:c>
      <x:c r="B370" s="18" t="str">
        <x:v>Tax calculation service</x:v>
      </x:c>
      <x:c r="C370" s="18" t="str">
        <x:v>Selected</x:v>
      </x:c>
      <x:c r="D370" s="18" t="str">
        <x:v>EXT-046</x:v>
      </x:c>
      <x:c r="E370" s="18" t="str">
        <x:v>Assumed usage/quantity; vendor pricing only verified for specific named unit. Taxes, freight and overhead listed separately.</x:v>
      </x:c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48" customHeight="1">
      <x:c r="A371" s="1" t="str">
        <x:v>EXT-047</x:v>
      </x:c>
      <x:c r="B371" s="18" t="str">
        <x:v>CRM extension license renewal</x:v>
      </x:c>
      <x:c r="C371" s="18" t="str">
        <x:v>Selected</x:v>
      </x:c>
      <x:c r="D371" s="18" t="str">
        <x:v>EXT-047</x:v>
      </x:c>
      <x:c r="E371" s="18" t="str">
        <x:v>Assumed usage/quantity; vendor pricing only verified for specific named unit. Taxes, freight and overhead listed separately.</x:v>
      </x:c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48" customHeight="1">
      <x:c r="A372" s="1" t="str">
        <x:v>EXT-048</x:v>
      </x:c>
      <x:c r="B372" s="18" t="str">
        <x:v>ATS maintenance and hiring-workflow changes</x:v>
      </x:c>
      <x:c r="C372" s="18" t="str">
        <x:v>Selected</x:v>
      </x:c>
      <x:c r="D372" s="18" t="str">
        <x:v>EXT-048</x:v>
      </x:c>
      <x:c r="E372" s="18" t="str">
        <x:v>ATS-specific connector and workflow maintenance; excluded from general application maintenance allowance.</x:v>
      </x:c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48" customHeight="1">
      <x:c r="A373" s="1" t="str">
        <x:v>EXT-051</x:v>
      </x:c>
      <x:c r="B373" s="18" t="str">
        <x:v>Booker plush prototype</x:v>
      </x:c>
      <x:c r="C373" s="18" t="str">
        <x:v>Selected</x:v>
      </x:c>
      <x:c r="D373" s="18" t="str">
        <x:v>EXT-051</x:v>
      </x:c>
      <x:c r="E373" s="18" t="str">
        <x:v>Assumed usage/quantity; vendor pricing only verified for specific named unit. Taxes, freight and overhead listed separately.</x:v>
      </x:c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48" customHeight="1">
      <x:c r="A374" s="1" t="str">
        <x:v>EXT-052</x:v>
      </x:c>
      <x:c r="B374" s="18" t="str">
        <x:v>Lumi plush prototype</x:v>
      </x:c>
      <x:c r="C374" s="18" t="str">
        <x:v>Selected</x:v>
      </x:c>
      <x:c r="D374" s="18" t="str">
        <x:v>EXT-052</x:v>
      </x:c>
      <x:c r="E374" s="18" t="str">
        <x:v>Assumed usage/quantity; vendor pricing only verified for specific named unit. Taxes, freight and overhead listed separately.</x:v>
      </x:c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48" customHeight="1">
      <x:c r="A375" s="1" t="str">
        <x:v>EXT-053</x:v>
      </x:c>
      <x:c r="B375" s="18" t="str">
        <x:v>Zuri plush prototype</x:v>
      </x:c>
      <x:c r="C375" s="18" t="str">
        <x:v>Selected</x:v>
      </x:c>
      <x:c r="D375" s="18" t="str">
        <x:v>EXT-053</x:v>
      </x:c>
      <x:c r="E375" s="18" t="str">
        <x:v>Assumed usage/quantity; vendor pricing only verified for specific named unit. Taxes, freight and overhead listed separately.</x:v>
      </x:c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48" customHeight="1">
      <x:c r="A376" s="1" t="str">
        <x:v>EXT-054</x:v>
      </x:c>
      <x:c r="B376" s="18" t="str">
        <x:v>Bop plush prototype</x:v>
      </x:c>
      <x:c r="C376" s="18" t="str">
        <x:v>Selected</x:v>
      </x:c>
      <x:c r="D376" s="18" t="str">
        <x:v>EXT-054</x:v>
      </x:c>
      <x:c r="E376" s="18" t="str">
        <x:v>Assumed usage/quantity; vendor pricing only verified for specific named unit. Taxes, freight and overhead listed separately.</x:v>
      </x:c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48" customHeight="1">
      <x:c r="A377" s="1" t="str">
        <x:v>EXT-056</x:v>
      </x:c>
      <x:c r="B377" s="18" t="str">
        <x:v>Plush safety laboratory tests by material and age grade</x:v>
      </x:c>
      <x:c r="C377" s="18" t="str">
        <x:v>Selected</x:v>
      </x:c>
      <x:c r="D377" s="18" t="str">
        <x:v>EXT-056</x:v>
      </x:c>
      <x:c r="E377" s="18" t="str">
        <x:v>Assumed usage/quantity; vendor pricing only verified for specific named unit. Taxes, freight and overhead listed separately.</x:v>
      </x:c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48" customHeight="1">
      <x:c r="A378" s="1" t="str">
        <x:v>EXT-057</x:v>
      </x:c>
      <x:c r="B378" s="18" t="str">
        <x:v>Children product certificate preparation and records</x:v>
      </x:c>
      <x:c r="C378" s="18" t="str">
        <x:v>Selected</x:v>
      </x:c>
      <x:c r="D378" s="18" t="str">
        <x:v>EXT-057</x:v>
      </x:c>
      <x:c r="E378" s="18" t="str">
        <x:v>Assumed usage/quantity; vendor pricing only verified for specific named unit. Taxes, freight and overhead listed separately.</x:v>
      </x:c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48" customHeight="1">
      <x:c r="A379" s="1" t="str">
        <x:v>EXT-058</x:v>
      </x:c>
      <x:c r="B379" s="18" t="str">
        <x:v>Plush tracking-label printing</x:v>
      </x:c>
      <x:c r="C379" s="18" t="str">
        <x:v>Selected</x:v>
      </x:c>
      <x:c r="D379" s="18" t="str">
        <x:v>EXT-058</x:v>
      </x:c>
      <x:c r="E379" s="18" t="str">
        <x:v>Assumed usage/quantity; vendor pricing only verified for specific named unit. Taxes, freight and overhead listed separately.</x:v>
      </x:c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48" customHeight="1">
      <x:c r="A380" s="1" t="str">
        <x:v>EXT-059</x:v>
      </x:c>
      <x:c r="B380" s="18" t="str">
        <x:v>Plush packaging artwork</x:v>
      </x:c>
      <x:c r="C380" s="18" t="str">
        <x:v>Selected</x:v>
      </x:c>
      <x:c r="D380" s="18" t="str">
        <x:v>EXT-059</x:v>
      </x:c>
      <x:c r="E380" s="18" t="str">
        <x:v>Assumed usage/quantity; vendor pricing only verified for specific named unit. Taxes, freight and overhead listed separately.</x:v>
      </x:c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48" customHeight="1">
      <x:c r="A381" s="1" t="str">
        <x:v>EXT-060</x:v>
      </x:c>
      <x:c r="B381" s="18" t="str">
        <x:v>Plush packaging manufacture</x:v>
      </x:c>
      <x:c r="C381" s="18" t="str">
        <x:v>Selected</x:v>
      </x:c>
      <x:c r="D381" s="18" t="str">
        <x:v>EXT-060</x:v>
      </x:c>
      <x:c r="E381" s="18" t="str">
        <x:v>Assumed usage/quantity; vendor pricing only verified for specific named unit. Taxes, freight and overhead listed separately.</x:v>
      </x:c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48" customHeight="1">
      <x:c r="A382" s="1" t="str">
        <x:v>EXT-061</x:v>
      </x:c>
      <x:c r="B382" s="18" t="str">
        <x:v>Apparel artwork separation by character and color</x:v>
      </x:c>
      <x:c r="C382" s="18" t="str">
        <x:v>Selected</x:v>
      </x:c>
      <x:c r="D382" s="18" t="str">
        <x:v>EXT-061</x:v>
      </x:c>
      <x:c r="E382" s="18" t="str">
        <x:v>Assumed usage/quantity; vendor pricing only verified for specific named unit. Taxes, freight and overhead listed separately.</x:v>
      </x:c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48" customHeight="1">
      <x:c r="A383" s="1" t="str">
        <x:v>EXT-064</x:v>
      </x:c>
      <x:c r="B383" s="18" t="str">
        <x:v>Apparel sample and wash-durability test</x:v>
      </x:c>
      <x:c r="C383" s="18" t="str">
        <x:v>Selected</x:v>
      </x:c>
      <x:c r="D383" s="18" t="str">
        <x:v>EXT-064</x:v>
      </x:c>
      <x:c r="E383" s="18" t="str">
        <x:v>Assumed usage/quantity; vendor pricing only verified for specific named unit. Taxes, freight and overhead listed separately.</x:v>
      </x:c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48" customHeight="1">
      <x:c r="A384" s="1" t="str">
        <x:v>EXT-065</x:v>
      </x:c>
      <x:c r="B384" s="18" t="str">
        <x:v>Drinkware production sample</x:v>
      </x:c>
      <x:c r="C384" s="18" t="str">
        <x:v>Selected</x:v>
      </x:c>
      <x:c r="D384" s="18" t="str">
        <x:v>EXT-065</x:v>
      </x:c>
      <x:c r="E384" s="18" t="str">
        <x:v>Assumed usage/quantity; vendor pricing only verified for specific named unit. Taxes, freight and overhead listed separately.</x:v>
      </x:c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48" customHeight="1">
      <x:c r="A385" s="1" t="str">
        <x:v>EXT-066</x:v>
      </x:c>
      <x:c r="B385" s="18" t="str">
        <x:v>Drinkware materials and applicable safety testing</x:v>
      </x:c>
      <x:c r="C385" s="18" t="str">
        <x:v>Selected</x:v>
      </x:c>
      <x:c r="D385" s="18" t="str">
        <x:v>EXT-066</x:v>
      </x:c>
      <x:c r="E385" s="18" t="str">
        <x:v>Assumed usage/quantity; vendor pricing only verified for specific named unit. Taxes, freight and overhead listed separately.</x:v>
      </x:c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48" customHeight="1">
      <x:c r="A386" s="1" t="str">
        <x:v>EXT-067</x:v>
      </x:c>
      <x:c r="B386" s="18" t="str">
        <x:v>Backpack prototype and safety review</x:v>
      </x:c>
      <x:c r="C386" s="18" t="str">
        <x:v>Selected</x:v>
      </x:c>
      <x:c r="D386" s="18" t="str">
        <x:v>EXT-067</x:v>
      </x:c>
      <x:c r="E386" s="18" t="str">
        <x:v>Assumed usage/quantity; vendor pricing only verified for specific named unit. Taxes, freight and overhead listed separately.</x:v>
      </x:c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48" customHeight="1">
      <x:c r="A387" s="1" t="str">
        <x:v>EXT-068</x:v>
      </x:c>
      <x:c r="B387" s="18" t="str">
        <x:v>Book print proof</x:v>
      </x:c>
      <x:c r="C387" s="18" t="str">
        <x:v>Selected</x:v>
      </x:c>
      <x:c r="D387" s="18" t="str">
        <x:v>EXT-068</x:v>
      </x:c>
      <x:c r="E387" s="18" t="str">
        <x:v>Assumed usage/quantity; vendor pricing only verified for specific named unit. Taxes, freight and overhead listed separately.</x:v>
      </x:c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48" customHeight="1">
      <x:c r="A388" s="1" t="str">
        <x:v>EXT-070</x:v>
      </x:c>
      <x:c r="B388" s="18" t="str">
        <x:v>Book ISBN registration if needed</x:v>
      </x:c>
      <x:c r="C388" s="18" t="str">
        <x:v>Selected</x:v>
      </x:c>
      <x:c r="D388" s="18" t="str">
        <x:v>EXT-070</x:v>
      </x:c>
      <x:c r="E388" s="18" t="str">
        <x:v>Assumed usage/quantity; vendor pricing only verified for specific named unit. Taxes, freight and overhead listed separately.</x:v>
      </x:c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48" customHeight="1">
      <x:c r="A389" s="1" t="str">
        <x:v>EXT-071</x:v>
      </x:c>
      <x:c r="B389" s="18" t="str">
        <x:v>Book freight</x:v>
      </x:c>
      <x:c r="C389" s="18" t="str">
        <x:v>Selected</x:v>
      </x:c>
      <x:c r="D389" s="18" t="str">
        <x:v>EXT-071</x:v>
      </x:c>
      <x:c r="E389" s="18" t="str">
        <x:v>Assumed usage/quantity; vendor pricing only verified for specific named unit. Taxes, freight and overhead listed separately.</x:v>
      </x:c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48" customHeight="1">
      <x:c r="A390" s="1" t="str">
        <x:v>EXT-072</x:v>
      </x:c>
      <x:c r="B390" s="18" t="str">
        <x:v>Booker blue carpet prototype</x:v>
      </x:c>
      <x:c r="C390" s="18" t="str">
        <x:v>Selected</x:v>
      </x:c>
      <x:c r="D390" s="18" t="str">
        <x:v>EXT-072</x:v>
      </x:c>
      <x:c r="E390" s="18" t="str">
        <x:v>Assumed usage/quantity; vendor pricing only verified for specific named unit. Taxes, freight and overhead listed separately.</x:v>
      </x:c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48" customHeight="1">
      <x:c r="A391" s="1" t="str">
        <x:v>EXT-073</x:v>
      </x:c>
      <x:c r="B391" s="18" t="str">
        <x:v>Lumi matching carpet prototype</x:v>
      </x:c>
      <x:c r="C391" s="18" t="str">
        <x:v>Selected</x:v>
      </x:c>
      <x:c r="D391" s="18" t="str">
        <x:v>EXT-073</x:v>
      </x:c>
      <x:c r="E391" s="18" t="str">
        <x:v>Assumed usage/quantity; vendor pricing only verified for specific named unit. Taxes, freight and overhead listed separately.</x:v>
      </x:c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48" customHeight="1">
      <x:c r="A392" s="1" t="str">
        <x:v>EXT-074</x:v>
      </x:c>
      <x:c r="B392" s="18" t="str">
        <x:v>Zuri green carpet prototype</x:v>
      </x:c>
      <x:c r="C392" s="18" t="str">
        <x:v>Selected</x:v>
      </x:c>
      <x:c r="D392" s="18" t="str">
        <x:v>EXT-074</x:v>
      </x:c>
      <x:c r="E392" s="18" t="str">
        <x:v>Assumed usage/quantity; vendor pricing only verified for specific named unit. Taxes, freight and overhead listed separately.</x:v>
      </x:c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48" customHeight="1">
      <x:c r="A393" s="1" t="str">
        <x:v>EXT-075</x:v>
      </x:c>
      <x:c r="B393" s="18" t="str">
        <x:v>Bop matching carpet prototype</x:v>
      </x:c>
      <x:c r="C393" s="18" t="str">
        <x:v>Selected</x:v>
      </x:c>
      <x:c r="D393" s="18" t="str">
        <x:v>EXT-075</x:v>
      </x:c>
      <x:c r="E393" s="18" t="str">
        <x:v>Assumed usage/quantity; vendor pricing only verified for specific named unit. Taxes, freight and overhead listed separately.</x:v>
      </x:c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48" customHeight="1">
      <x:c r="A394" s="1" t="str">
        <x:v>EXT-077</x:v>
      </x:c>
      <x:c r="B394" s="18" t="str">
        <x:v>Carpet applicable flammability and materials testing</x:v>
      </x:c>
      <x:c r="C394" s="18" t="str">
        <x:v>Selected</x:v>
      </x:c>
      <x:c r="D394" s="18" t="str">
        <x:v>EXT-077</x:v>
      </x:c>
      <x:c r="E394" s="18" t="str">
        <x:v>Assumed usage/quantity; vendor pricing only verified for specific named unit. Taxes, freight and overhead listed separately.</x:v>
      </x:c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48" customHeight="1">
      <x:c r="A395" s="1" t="str">
        <x:v>EXT-078</x:v>
      </x:c>
      <x:c r="B395" s="18" t="str">
        <x:v>Matching poster proof by zone</x:v>
      </x:c>
      <x:c r="C395" s="18" t="str">
        <x:v>Selected</x:v>
      </x:c>
      <x:c r="D395" s="18" t="str">
        <x:v>EXT-078</x:v>
      </x:c>
      <x:c r="E395" s="18" t="str">
        <x:v>Assumed usage/quantity; vendor pricing only verified for specific named unit. Taxes, freight and overhead listed separately.</x:v>
      </x:c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48" customHeight="1">
      <x:c r="A396" s="1" t="str">
        <x:v>EXT-080</x:v>
      </x:c>
      <x:c r="B396" s="18" t="str">
        <x:v>QR habit card print proof</x:v>
      </x:c>
      <x:c r="C396" s="18" t="str">
        <x:v>Selected</x:v>
      </x:c>
      <x:c r="D396" s="18" t="str">
        <x:v>EXT-080</x:v>
      </x:c>
      <x:c r="E396" s="18" t="str">
        <x:v>Assumed usage/quantity; vendor pricing only verified for specific named unit. Taxes, freight and overhead listed separately.</x:v>
      </x:c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48" customHeight="1">
      <x:c r="A397" s="1" t="str">
        <x:v>EXT-081</x:v>
      </x:c>
      <x:c r="B397" s="18" t="str">
        <x:v>QR habit card printing</x:v>
      </x:c>
      <x:c r="C397" s="18" t="str">
        <x:v>Selected</x:v>
      </x:c>
      <x:c r="D397" s="18" t="str">
        <x:v>EXT-081</x:v>
      </x:c>
      <x:c r="E397" s="18" t="str">
        <x:v>Assumed usage/quantity; vendor pricing only verified for specific named unit. Taxes, freight and overhead listed separately.</x:v>
      </x:c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48" customHeight="1">
      <x:c r="A398" s="1" t="str">
        <x:v>EXT-082</x:v>
      </x:c>
      <x:c r="B398" s="18" t="str">
        <x:v>QR card lamination or coating</x:v>
      </x:c>
      <x:c r="C398" s="18" t="str">
        <x:v>Selected</x:v>
      </x:c>
      <x:c r="D398" s="18" t="str">
        <x:v>EXT-082</x:v>
      </x:c>
      <x:c r="E398" s="18" t="str">
        <x:v>Assumed usage/quantity; vendor pricing only verified for specific named unit. Taxes, freight and overhead listed separately.</x:v>
      </x:c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48" customHeight="1">
      <x:c r="A399" s="1" t="str">
        <x:v>EXT-084</x:v>
      </x:c>
      <x:c r="B399" s="18" t="str">
        <x:v>Factory tooling or setup fee</x:v>
      </x:c>
      <x:c r="C399" s="18" t="str">
        <x:v>Selected</x:v>
      </x:c>
      <x:c r="D399" s="18" t="str">
        <x:v>EXT-084</x:v>
      </x:c>
      <x:c r="E399" s="18" t="str">
        <x:v>Assumed usage/quantity; vendor pricing only verified for specific named unit. Taxes, freight and overhead listed separately.</x:v>
      </x:c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48" customHeight="1">
      <x:c r="A400" s="1" t="str">
        <x:v>EXT-086</x:v>
      </x:c>
      <x:c r="B400" s="18" t="str">
        <x:v>Manufacturing quality inspection</x:v>
      </x:c>
      <x:c r="C400" s="18" t="str">
        <x:v>Selected</x:v>
      </x:c>
      <x:c r="D400" s="18" t="str">
        <x:v>EXT-086</x:v>
      </x:c>
      <x:c r="E400" s="18" t="str">
        <x:v>Assumed usage/quantity; vendor pricing only verified for specific named unit. Taxes, freight and overhead listed separately.</x:v>
      </x:c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48" customHeight="1">
      <x:c r="A401" s="1" t="str">
        <x:v>EXT-087</x:v>
      </x:c>
      <x:c r="B401" s="18" t="str">
        <x:v>Factory freight to warehouse</x:v>
      </x:c>
      <x:c r="C401" s="18" t="str">
        <x:v>Selected</x:v>
      </x:c>
      <x:c r="D401" s="18" t="str">
        <x:v>EXT-087</x:v>
      </x:c>
      <x:c r="E401" s="18" t="str">
        <x:v>Assumed usage/quantity; vendor pricing only verified for specific named unit. Taxes, freight and overhead listed separately.</x:v>
      </x:c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48" customHeight="1">
      <x:c r="A402" s="1" t="str">
        <x:v>EXT-088</x:v>
      </x:c>
      <x:c r="B402" s="18" t="str">
        <x:v>Import duty and customs brokerage if applicable</x:v>
      </x:c>
      <x:c r="C402" s="18" t="str">
        <x:v>Selected</x:v>
      </x:c>
      <x:c r="D402" s="18" t="str">
        <x:v>EXT-088</x:v>
      </x:c>
      <x:c r="E402" s="18" t="str">
        <x:v>Assumed usage/quantity; vendor pricing only verified for specific named unit. Taxes, freight and overhead listed separately.</x:v>
      </x:c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48" customHeight="1">
      <x:c r="A403" s="1" t="str">
        <x:v>EXT-089</x:v>
      </x:c>
      <x:c r="B403" s="18" t="str">
        <x:v>Receiving and inventory check-in</x:v>
      </x:c>
      <x:c r="C403" s="18" t="str">
        <x:v>Selected</x:v>
      </x:c>
      <x:c r="D403" s="18" t="str">
        <x:v>EXT-089</x:v>
      </x:c>
      <x:c r="E403" s="18" t="str">
        <x:v>Assumed usage/quantity; vendor pricing only verified for specific named unit. Taxes, freight and overhead listed separately.</x:v>
      </x:c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48" customHeight="1">
      <x:c r="A404" s="1" t="str">
        <x:v>EXT-090</x:v>
      </x:c>
      <x:c r="B404" s="18" t="str">
        <x:v>Warehouse shelf or bin storage</x:v>
      </x:c>
      <x:c r="C404" s="18" t="str">
        <x:v>Selected</x:v>
      </x:c>
      <x:c r="D404" s="18" t="str">
        <x:v>EXT-090</x:v>
      </x:c>
      <x:c r="E404" s="18" t="str">
        <x:v>Assumed usage/quantity; vendor pricing only verified for specific named unit. Taxes, freight and overhead listed separately.</x:v>
      </x:c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48" customHeight="1">
      <x:c r="A405" s="1" t="str">
        <x:v>EXT-091</x:v>
      </x:c>
      <x:c r="B405" s="18" t="str">
        <x:v>Pick-and-pack labor per order</x:v>
      </x:c>
      <x:c r="C405" s="18" t="str">
        <x:v>Selected</x:v>
      </x:c>
      <x:c r="D405" s="18" t="str">
        <x:v>EXT-091</x:v>
      </x:c>
      <x:c r="E405" s="18" t="str">
        <x:v>Assumed usage/quantity; vendor pricing only verified for specific named unit. Taxes, freight and overhead listed separately.</x:v>
      </x:c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48" customHeight="1">
      <x:c r="A406" s="1" t="str">
        <x:v>EXT-092</x:v>
      </x:c>
      <x:c r="B406" s="18" t="str">
        <x:v>Shipping carton</x:v>
      </x:c>
      <x:c r="C406" s="18" t="str">
        <x:v>Selected</x:v>
      </x:c>
      <x:c r="D406" s="18" t="str">
        <x:v>EXT-092</x:v>
      </x:c>
      <x:c r="E406" s="18" t="str">
        <x:v>Assumed usage/quantity; vendor pricing only verified for specific named unit. Taxes, freight and overhead listed separately.</x:v>
      </x:c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48" customHeight="1">
      <x:c r="A407" s="1" t="str">
        <x:v>EXT-093</x:v>
      </x:c>
      <x:c r="B407" s="18" t="str">
        <x:v>Protective packing material</x:v>
      </x:c>
      <x:c r="C407" s="18" t="str">
        <x:v>Selected</x:v>
      </x:c>
      <x:c r="D407" s="18" t="str">
        <x:v>EXT-093</x:v>
      </x:c>
      <x:c r="E407" s="18" t="str">
        <x:v>Assumed usage/quantity; vendor pricing only verified for specific named unit. Taxes, freight and overhead listed separately.</x:v>
      </x:c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48" customHeight="1">
      <x:c r="A408" s="1" t="str">
        <x:v>EXT-094</x:v>
      </x:c>
      <x:c r="B408" s="18" t="str">
        <x:v>Packing label</x:v>
      </x:c>
      <x:c r="C408" s="18" t="str">
        <x:v>Selected</x:v>
      </x:c>
      <x:c r="D408" s="18" t="str">
        <x:v>EXT-094</x:v>
      </x:c>
      <x:c r="E408" s="18" t="str">
        <x:v>Assumed usage/quantity; vendor pricing only verified for specific named unit. Taxes, freight and overhead listed separately.</x:v>
      </x:c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48" customHeight="1">
      <x:c r="A409" s="1" t="str">
        <x:v>EXT-095</x:v>
      </x:c>
      <x:c r="B409" s="18" t="str">
        <x:v>Parcel postage by weight and zone</x:v>
      </x:c>
      <x:c r="C409" s="18" t="str">
        <x:v>Selected</x:v>
      </x:c>
      <x:c r="D409" s="18" t="str">
        <x:v>EXT-095</x:v>
      </x:c>
      <x:c r="E409" s="18" t="str">
        <x:v>Assumed usage/quantity; vendor pricing only verified for specific named unit. Taxes, freight and overhead listed separately.</x:v>
      </x:c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48" customHeight="1">
      <x:c r="A410" s="1" t="str">
        <x:v>EXT-096</x:v>
      </x:c>
      <x:c r="B410" s="18" t="str">
        <x:v>Returns postage</x:v>
      </x:c>
      <x:c r="C410" s="18" t="str">
        <x:v>Selected</x:v>
      </x:c>
      <x:c r="D410" s="18" t="str">
        <x:v>EXT-096</x:v>
      </x:c>
      <x:c r="E410" s="18" t="str">
        <x:v>Assumed usage/quantity; vendor pricing only verified for specific named unit. Taxes, freight and overhead listed separately.</x:v>
      </x:c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48" customHeight="1">
      <x:c r="A411" s="1" t="str">
        <x:v>EXT-097</x:v>
      </x:c>
      <x:c r="B411" s="18" t="str">
        <x:v>Returns inspection and restocking</x:v>
      </x:c>
      <x:c r="C411" s="18" t="str">
        <x:v>Selected</x:v>
      </x:c>
      <x:c r="D411" s="18" t="str">
        <x:v>EXT-097</x:v>
      </x:c>
      <x:c r="E411" s="18" t="str">
        <x:v>Assumed usage/quantity; vendor pricing only verified for specific named unit. Taxes, freight and overhead listed separately.</x:v>
      </x:c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48" customHeight="1">
      <x:c r="A412" s="1" t="str">
        <x:v>EXT-098</x:v>
      </x:c>
      <x:c r="B412" s="18" t="str">
        <x:v>Damaged-goods write-off</x:v>
      </x:c>
      <x:c r="C412" s="18" t="str">
        <x:v>Selected</x:v>
      </x:c>
      <x:c r="D412" s="18" t="str">
        <x:v>EXT-098</x:v>
      </x:c>
      <x:c r="E412" s="18" t="str">
        <x:v>Assumed usage/quantity; vendor pricing only verified for specific named unit. Taxes, freight and overhead listed separately.</x:v>
      </x:c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48" customHeight="1">
      <x:c r="A413" s="1" t="str">
        <x:v>EXT-099</x:v>
      </x:c>
      <x:c r="B413" s="18" t="str">
        <x:v>Product liability premium</x:v>
      </x:c>
      <x:c r="C413" s="18" t="str">
        <x:v>Selected</x:v>
      </x:c>
      <x:c r="D413" s="18" t="str">
        <x:v>EXT-099</x:v>
      </x:c>
      <x:c r="E413" s="18" t="str">
        <x:v>Assumed usage/quantity; vendor pricing only verified for specific named unit. Taxes, freight and overhead listed separately.</x:v>
      </x:c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48" customHeight="1">
      <x:c r="A414" s="1" t="str">
        <x:v>EXT-100</x:v>
      </x:c>
      <x:c r="B414" s="18" t="str">
        <x:v>Product recall planning and reserve</x:v>
      </x:c>
      <x:c r="C414" s="18" t="str">
        <x:v>Selected</x:v>
      </x:c>
      <x:c r="D414" s="18" t="str">
        <x:v>EXT-100</x:v>
      </x:c>
      <x:c r="E414" s="18" t="str">
        <x:v>Assumed usage/quantity; vendor pricing only verified for specific named unit. Taxes, freight and overhead listed separately.</x:v>
      </x:c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48" customHeight="1">
      <x:c r="A415" s="1" t="str">
        <x:v>EXT-101</x:v>
      </x:c>
      <x:c r="B415" s="18" t="str">
        <x:v>Tablet hardware purchase</x:v>
      </x:c>
      <x:c r="C415" s="18" t="str">
        <x:v>Selected</x:v>
      </x:c>
      <x:c r="D415" s="18" t="str">
        <x:v>EXT-101</x:v>
      </x:c>
      <x:c r="E415" s="18" t="str">
        <x:v>Assumed usage/quantity; vendor pricing only verified for specific named unit. Taxes, freight and overhead listed separately.</x:v>
      </x:c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48" customHeight="1">
      <x:c r="A416" s="1" t="str">
        <x:v>EXT-102</x:v>
      </x:c>
      <x:c r="B416" s="18" t="str">
        <x:v>Tablet shockproof case</x:v>
      </x:c>
      <x:c r="C416" s="18" t="str">
        <x:v>Selected</x:v>
      </x:c>
      <x:c r="D416" s="18" t="str">
        <x:v>EXT-102</x:v>
      </x:c>
      <x:c r="E416" s="18" t="str">
        <x:v>Assumed usage/quantity; vendor pricing only verified for specific named unit. Taxes, freight and overhead listed separately.</x:v>
      </x:c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48" customHeight="1">
      <x:c r="A417" s="1" t="str">
        <x:v>EXT-103</x:v>
      </x:c>
      <x:c r="B417" s="18" t="str">
        <x:v>Character case printing</x:v>
      </x:c>
      <x:c r="C417" s="18" t="str">
        <x:v>Selected</x:v>
      </x:c>
      <x:c r="D417" s="18" t="str">
        <x:v>EXT-103</x:v>
      </x:c>
      <x:c r="E417" s="18" t="str">
        <x:v>Assumed usage/quantity; vendor pricing only verified for specific named unit. Taxes, freight and overhead listed separately.</x:v>
      </x:c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48" customHeight="1">
      <x:c r="A418" s="1" t="str">
        <x:v>EXT-104</x:v>
      </x:c>
      <x:c r="B418" s="18" t="str">
        <x:v>Screen protector</x:v>
      </x:c>
      <x:c r="C418" s="18" t="str">
        <x:v>Selected</x:v>
      </x:c>
      <x:c r="D418" s="18" t="str">
        <x:v>EXT-104</x:v>
      </x:c>
      <x:c r="E418" s="18" t="str">
        <x:v>Assumed usage/quantity; vendor pricing only verified for specific named unit. Taxes, freight and overhead listed separately.</x:v>
      </x:c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48" customHeight="1">
      <x:c r="A419" s="1" t="str">
        <x:v>EXT-105</x:v>
      </x:c>
      <x:c r="B419" s="18" t="str">
        <x:v>Spare charger</x:v>
      </x:c>
      <x:c r="C419" s="18" t="str">
        <x:v>Selected</x:v>
      </x:c>
      <x:c r="D419" s="18" t="str">
        <x:v>EXT-105</x:v>
      </x:c>
      <x:c r="E419" s="18" t="str">
        <x:v>Assumed usage/quantity; vendor pricing only verified for specific named unit. Taxes, freight and overhead listed separately.</x:v>
      </x:c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48" customHeight="1">
      <x:c r="A420" s="1" t="str">
        <x:v>EXT-106</x:v>
      </x:c>
      <x:c r="B420" s="18" t="str">
        <x:v>Device management subscription</x:v>
      </x:c>
      <x:c r="C420" s="18" t="str">
        <x:v>Selected</x:v>
      </x:c>
      <x:c r="D420" s="18" t="str">
        <x:v>EXT-106</x:v>
      </x:c>
      <x:c r="E420" s="18" t="str">
        <x:v>Assumed usage/quantity; vendor pricing only verified for specific named unit. Taxes, freight and overhead listed separately.</x:v>
      </x:c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48" customHeight="1">
      <x:c r="A421" s="1" t="str">
        <x:v>EXT-107</x:v>
      </x:c>
      <x:c r="B421" s="18" t="str">
        <x:v>Device enrollment and kiosk setup labor</x:v>
      </x:c>
      <x:c r="C421" s="18" t="str">
        <x:v>Selected</x:v>
      </x:c>
      <x:c r="D421" s="18" t="str">
        <x:v>EXT-107</x:v>
      </x:c>
      <x:c r="E421" s="18" t="str">
        <x:v>Assumed usage/quantity; vendor pricing only verified for specific named unit. Taxes, freight and overhead listed separately.</x:v>
      </x:c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48" customHeight="1">
      <x:c r="A422" s="1" t="str">
        <x:v>EXT-110</x:v>
      </x:c>
      <x:c r="B422" s="18" t="str">
        <x:v>Packaging box</x:v>
      </x:c>
      <x:c r="C422" s="18" t="str">
        <x:v>Selected</x:v>
      </x:c>
      <x:c r="D422" s="18" t="str">
        <x:v>EXT-110</x:v>
      </x:c>
      <x:c r="E422" s="18" t="str">
        <x:v>Assumed usage/quantity; vendor pricing only verified for specific named unit. Taxes, freight and overhead listed separately.</x:v>
      </x:c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48" customHeight="1">
      <x:c r="A423" s="1" t="str">
        <x:v>EXT-111</x:v>
      </x:c>
      <x:c r="B423" s="18" t="str">
        <x:v>English quick-start card</x:v>
      </x:c>
      <x:c r="C423" s="18" t="str">
        <x:v>Selected</x:v>
      </x:c>
      <x:c r="D423" s="18" t="str">
        <x:v>EXT-111</x:v>
      </x:c>
      <x:c r="E423" s="18" t="str">
        <x:v>Assumed usage/quantity; vendor pricing only verified for specific named unit. Taxes, freight and overhead listed separately.</x:v>
      </x:c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48" customHeight="1">
      <x:c r="A424" s="1" t="str">
        <x:v>EXT-112</x:v>
      </x:c>
      <x:c r="B424" s="18" t="str">
        <x:v>Spanish quick-start card</x:v>
      </x:c>
      <x:c r="C424" s="18" t="str">
        <x:v>Selected</x:v>
      </x:c>
      <x:c r="D424" s="18" t="str">
        <x:v>EXT-112</x:v>
      </x:c>
      <x:c r="E424" s="18" t="str">
        <x:v>Assumed usage/quantity; vendor pricing only verified for specific named unit. Taxes, freight and overhead listed separately.</x:v>
      </x:c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48" customHeight="1">
      <x:c r="A425" s="1" t="str">
        <x:v>EXT-113</x:v>
      </x:c>
      <x:c r="B425" s="18" t="str">
        <x:v>Outbound device shipping</x:v>
      </x:c>
      <x:c r="C425" s="18" t="str">
        <x:v>Selected</x:v>
      </x:c>
      <x:c r="D425" s="18" t="str">
        <x:v>EXT-113</x:v>
      </x:c>
      <x:c r="E425" s="18" t="str">
        <x:v>Assumed usage/quantity; vendor pricing only verified for specific named unit. Taxes, freight and overhead listed separately.</x:v>
      </x:c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48" customHeight="1">
      <x:c r="A426" s="1" t="str">
        <x:v>EXT-116</x:v>
      </x:c>
      <x:c r="B426" s="18" t="str">
        <x:v>Inventory asset tagging</x:v>
      </x:c>
      <x:c r="C426" s="18" t="str">
        <x:v>Selected</x:v>
      </x:c>
      <x:c r="D426" s="18" t="str">
        <x:v>EXT-116</x:v>
      </x:c>
      <x:c r="E426" s="18" t="str">
        <x:v>Assumed usage/quantity; vendor pricing only verified for specific named unit. Taxes, freight and overhead listed separately.</x:v>
      </x:c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48" customHeight="1">
      <x:c r="A427" s="1" t="str">
        <x:v>EXT-117</x:v>
      </x:c>
      <x:c r="B427" s="18" t="str">
        <x:v>Replacement-device shipping</x:v>
      </x:c>
      <x:c r="C427" s="18" t="str">
        <x:v>Selected</x:v>
      </x:c>
      <x:c r="D427" s="18" t="str">
        <x:v>EXT-117</x:v>
      </x:c>
      <x:c r="E427" s="18" t="str">
        <x:v>Assumed usage/quantity; vendor pricing only verified for specific named unit. Taxes, freight and overhead listed separately.</x:v>
      </x:c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48" customHeight="1">
      <x:c r="A428" s="1" t="str">
        <x:v>EXT-118</x:v>
      </x:c>
      <x:c r="B428" s="18" t="str">
        <x:v>Repair labor</x:v>
      </x:c>
      <x:c r="C428" s="18" t="str">
        <x:v>Selected</x:v>
      </x:c>
      <x:c r="D428" s="18" t="str">
        <x:v>EXT-118</x:v>
      </x:c>
      <x:c r="E428" s="18" t="str">
        <x:v>Assumed usage/quantity; vendor pricing only verified for specific named unit. Taxes, freight and overhead listed separately.</x:v>
      </x:c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48" customHeight="1">
      <x:c r="A429" s="1" t="str">
        <x:v>EXT-119</x:v>
      </x:c>
      <x:c r="B429" s="18" t="str">
        <x:v>Replacement parts</x:v>
      </x:c>
      <x:c r="C429" s="18" t="str">
        <x:v>Selected</x:v>
      </x:c>
      <x:c r="D429" s="18" t="str">
        <x:v>EXT-119</x:v>
      </x:c>
      <x:c r="E429" s="18" t="str">
        <x:v>Assumed usage/quantity; vendor pricing only verified for specific named unit. Taxes, freight and overhead listed separately.</x:v>
      </x:c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48" customHeight="1">
      <x:c r="A430" s="1" t="str">
        <x:v>EXT-120</x:v>
      </x:c>
      <x:c r="B430" s="18" t="str">
        <x:v>Lost-device write-off</x:v>
      </x:c>
      <x:c r="C430" s="18" t="str">
        <x:v>Selected</x:v>
      </x:c>
      <x:c r="D430" s="18" t="str">
        <x:v>EXT-120</x:v>
      </x:c>
      <x:c r="E430" s="18" t="str">
        <x:v>Assumed usage/quantity; vendor pricing only verified for specific named unit. Taxes, freight and overhead listed separately.</x:v>
      </x:c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48" customHeight="1">
      <x:c r="A431" s="1" t="str">
        <x:v>EXT-121</x:v>
      </x:c>
      <x:c r="B431" s="18" t="str">
        <x:v>Warranty administration</x:v>
      </x:c>
      <x:c r="C431" s="18" t="str">
        <x:v>Selected</x:v>
      </x:c>
      <x:c r="D431" s="18" t="str">
        <x:v>EXT-121</x:v>
      </x:c>
      <x:c r="E431" s="18" t="str">
        <x:v>Assumed usage/quantity; vendor pricing only verified for specific named unit. Taxes, freight and overhead listed separately.</x:v>
      </x:c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48" customHeight="1">
      <x:c r="A432" s="1" t="str">
        <x:v>EXT-122</x:v>
      </x:c>
      <x:c r="B432" s="18" t="str">
        <x:v>Device return sanitization and reset</x:v>
      </x:c>
      <x:c r="C432" s="18" t="str">
        <x:v>Selected</x:v>
      </x:c>
      <x:c r="D432" s="18" t="str">
        <x:v>EXT-122</x:v>
      </x:c>
      <x:c r="E432" s="18" t="str">
        <x:v>Assumed usage/quantity; vendor pricing only verified for specific named unit. Taxes, freight and overhead listed separately.</x:v>
      </x:c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48" customHeight="1">
      <x:c r="A433" s="1" t="str">
        <x:v>EXT-123</x:v>
      </x:c>
      <x:c r="B433" s="18" t="str">
        <x:v>Device recycling</x:v>
      </x:c>
      <x:c r="C433" s="18" t="str">
        <x:v>Selected</x:v>
      </x:c>
      <x:c r="D433" s="18" t="str">
        <x:v>EXT-123</x:v>
      </x:c>
      <x:c r="E433" s="18" t="str">
        <x:v>Assumed usage/quantity; vendor pricing only verified for specific named unit. Taxes, freight and overhead listed separately.</x:v>
      </x:c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48" customHeight="1">
      <x:c r="A434" s="1" t="str">
        <x:v>EXT-124</x:v>
      </x:c>
      <x:c r="B434" s="18" t="str">
        <x:v>Device-management privacy and contract review</x:v>
      </x:c>
      <x:c r="C434" s="18" t="str">
        <x:v>Selected</x:v>
      </x:c>
      <x:c r="D434" s="18" t="str">
        <x:v>EXT-124</x:v>
      </x:c>
      <x:c r="E434" s="18" t="str">
        <x:v>Assumed usage/quantity; vendor pricing only verified for specific named unit. Taxes, freight and overhead listed separately.</x:v>
      </x:c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48" customHeight="1">
      <x:c r="A435" s="1" t="str">
        <x:v>EXT-136</x:v>
      </x:c>
      <x:c r="B435" s="18" t="str">
        <x:v>Spanish support coverage paid hours</x:v>
      </x:c>
      <x:c r="C435" s="18" t="str">
        <x:v>Selected</x:v>
      </x:c>
      <x:c r="D435" s="18" t="str">
        <x:v>EXT-136</x:v>
      </x:c>
      <x:c r="E435" s="18" t="str">
        <x:v>Assumed usage/quantity; vendor pricing only verified for specific named unit. Taxes, freight and overhead listed separately.</x:v>
      </x:c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48" customHeight="1">
      <x:c r="A436" s="1" t="str">
        <x:v>EXT-137</x:v>
      </x:c>
      <x:c r="B436" s="18" t="str">
        <x:v>Support helpdesk subscription</x:v>
      </x:c>
      <x:c r="C436" s="18" t="str">
        <x:v>Selected</x:v>
      </x:c>
      <x:c r="D436" s="18" t="str">
        <x:v>EXT-137</x:v>
      </x:c>
      <x:c r="E436" s="18" t="str">
        <x:v>Assumed usage/quantity; vendor pricing only verified for specific named unit. Taxes, freight and overhead listed separately.</x:v>
      </x:c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48" customHeight="1">
      <x:c r="A437" s="1" t="str">
        <x:v>EXT-138</x:v>
      </x:c>
      <x:c r="B437" s="18" t="str">
        <x:v>English help-center article authoring</x:v>
      </x:c>
      <x:c r="C437" s="18" t="str">
        <x:v>Selected</x:v>
      </x:c>
      <x:c r="D437" s="18" t="str">
        <x:v>EXT-138</x:v>
      </x:c>
      <x:c r="E437" s="18" t="str">
        <x:v>Assumed usage/quantity; vendor pricing only verified for specific named unit. Taxes, freight and overhead listed separately.</x:v>
      </x:c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48" customHeight="1">
      <x:c r="A438" s="1" t="str">
        <x:v>EXT-139</x:v>
      </x:c>
      <x:c r="B438" s="18" t="str">
        <x:v>Spanish help-center article adaptation</x:v>
      </x:c>
      <x:c r="C438" s="18" t="str">
        <x:v>Selected</x:v>
      </x:c>
      <x:c r="D438" s="18" t="str">
        <x:v>EXT-139</x:v>
      </x:c>
      <x:c r="E438" s="18" t="str">
        <x:v>Assumed usage/quantity; vendor pricing only verified for specific named unit. Taxes, freight and overhead listed separately.</x:v>
      </x:c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48" customHeight="1">
      <x:c r="A439" s="1" t="str">
        <x:v>EXT-140</x:v>
      </x:c>
      <x:c r="B439" s="18" t="str">
        <x:v>Teacher onboarding session delivery</x:v>
      </x:c>
      <x:c r="C439" s="18" t="str">
        <x:v>Selected</x:v>
      </x:c>
      <x:c r="D439" s="18" t="str">
        <x:v>EXT-140</x:v>
      </x:c>
      <x:c r="E439" s="18" t="str">
        <x:v>Assumed usage/quantity; vendor pricing only verified for specific named unit. Taxes, freight and overhead listed separately.</x:v>
      </x:c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48" customHeight="1">
      <x:c r="A440" s="1" t="str">
        <x:v>EXT-141</x:v>
      </x:c>
      <x:c r="B440" s="18" t="str">
        <x:v>Director onboarding session delivery</x:v>
      </x:c>
      <x:c r="C440" s="18" t="str">
        <x:v>Selected</x:v>
      </x:c>
      <x:c r="D440" s="18" t="str">
        <x:v>EXT-141</x:v>
      </x:c>
      <x:c r="E440" s="18" t="str">
        <x:v>Assumed usage/quantity; vendor pricing only verified for specific named unit. Taxes, freight and overhead listed separately.</x:v>
      </x:c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48" customHeight="1">
      <x:c r="A441" s="1" t="str">
        <x:v>EXT-142</x:v>
      </x:c>
      <x:c r="B441" s="18" t="str">
        <x:v>Parent onboarding session delivery</x:v>
      </x:c>
      <x:c r="C441" s="18" t="str">
        <x:v>Selected</x:v>
      </x:c>
      <x:c r="D441" s="18" t="str">
        <x:v>EXT-142</x:v>
      </x:c>
      <x:c r="E441" s="18" t="str">
        <x:v>Assumed usage/quantity; vendor pricing only verified for specific named unit. Taxes, freight and overhead listed separately.</x:v>
      </x:c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48" customHeight="1">
      <x:c r="A442" s="1" t="str">
        <x:v>EXT-163</x:v>
      </x:c>
      <x:c r="B442" s="18" t="str">
        <x:v>Future product direction paid hours</x:v>
      </x:c>
      <x:c r="C442" s="18" t="str">
        <x:v>Selected</x:v>
      </x:c>
      <x:c r="D442" s="18" t="str">
        <x:v>EXT-163</x:v>
      </x:c>
      <x:c r="E442" s="18" t="str">
        <x:v>Assumed usage/quantity; vendor pricing only verified for specific named unit. Taxes, freight and overhead listed separately.</x:v>
      </x:c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48" customHeight="1">
      <x:c r="A443" s="1" t="str">
        <x:v>EXT-165</x:v>
      </x:c>
      <x:c r="B443" s="18" t="str">
        <x:v>Future creative direction paid hours</x:v>
      </x:c>
      <x:c r="C443" s="18" t="str">
        <x:v>Selected</x:v>
      </x:c>
      <x:c r="D443" s="18" t="str">
        <x:v>EXT-165</x:v>
      </x:c>
      <x:c r="E443" s="18" t="str">
        <x:v>Assumed usage/quantity; vendor pricing only verified for specific named unit. Taxes, freight and overhead listed separately.</x:v>
      </x:c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48" customHeight="1">
      <x:c r="A444" s="1" t="str">
        <x:v>EXT-167</x:v>
      </x:c>
      <x:c r="B444" s="18" t="str">
        <x:v>Future brand/IP licensing contract</x:v>
      </x:c>
      <x:c r="C444" s="18" t="str">
        <x:v>Selected</x:v>
      </x:c>
      <x:c r="D444" s="18" t="str">
        <x:v>EXT-167</x:v>
      </x:c>
      <x:c r="E444" s="18" t="str">
        <x:v>Assumed usage/quantity; vendor pricing only verified for specific named unit. Taxes, freight and overhead listed separately.</x:v>
      </x:c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48" customHeight="1">
      <x:c r="A445" s="1" t="str">
        <x:v>EXT-169</x:v>
      </x:c>
      <x:c r="B445" s="18" t="str">
        <x:v>Loan legal review</x:v>
      </x:c>
      <x:c r="C445" s="18" t="str">
        <x:v>Selected</x:v>
      </x:c>
      <x:c r="D445" s="18" t="str">
        <x:v>EXT-169</x:v>
      </x:c>
      <x:c r="E445" s="18" t="str">
        <x:v>Assumed usage/quantity; vendor pricing only verified for specific named unit. Taxes, freight and overhead listed separately.</x:v>
      </x:c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48" customHeight="1">
      <x:c r="A446" s="1" t="str">
        <x:v>EXT-173</x:v>
      </x:c>
      <x:c r="B446" s="18" t="str">
        <x:v>Debt covenant reporting</x:v>
      </x:c>
      <x:c r="C446" s="18" t="str">
        <x:v>Selected</x:v>
      </x:c>
      <x:c r="D446" s="18" t="str">
        <x:v>EXT-173</x:v>
      </x:c>
      <x:c r="E446" s="18" t="str">
        <x:v>Assumed usage/quantity; vendor pricing only verified for specific named unit. Taxes, freight and overhead listed separately.</x:v>
      </x:c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48" customHeight="1">
      <x:c r="A447" s="1" t="str">
        <x:v>EXT-174</x:v>
      </x:c>
      <x:c r="B447" s="18" t="str">
        <x:v>Sales-tax filing service</x:v>
      </x:c>
      <x:c r="C447" s="18" t="str">
        <x:v>Selected</x:v>
      </x:c>
      <x:c r="D447" s="18" t="str">
        <x:v>EXT-174</x:v>
      </x:c>
      <x:c r="E447" s="18" t="str">
        <x:v>Assumed usage/quantity; vendor pricing only verified for specific named unit. Taxes, freight and overhead listed separately.</x:v>
      </x:c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48" customHeight="1">
      <x:c r="A448" s="1" t="str">
        <x:v>EXT-175</x:v>
      </x:c>
      <x:c r="B448" s="18" t="str">
        <x:v>Merchandise inventory accounting</x:v>
      </x:c>
      <x:c r="C448" s="18" t="str">
        <x:v>Selected</x:v>
      </x:c>
      <x:c r="D448" s="18" t="str">
        <x:v>EXT-175</x:v>
      </x:c>
      <x:c r="E448" s="18" t="str">
        <x:v>Assumed usage/quantity; vendor pricing only verified for specific named unit. Taxes, freight and overhead listed separately.</x:v>
      </x:c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48" customHeight="1">
      <x:c r="A449" s="1" t="str">
        <x:v>EXT-177</x:v>
      </x:c>
      <x:c r="B449" s="18" t="str">
        <x:v>Monthly financial close and bank reconciliation</x:v>
      </x:c>
      <x:c r="C449" s="18" t="str">
        <x:v>Selected</x:v>
      </x:c>
      <x:c r="D449" s="18" t="str">
        <x:v>EXT-177</x:v>
      </x:c>
      <x:c r="E449" s="18" t="str">
        <x:v>Assumed usage/quantity; vendor pricing only verified for specific named unit. Taxes, freight and overhead listed separately.</x:v>
      </x:c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48" customHeight="1">
      <x:c r="A450" s="1" t="str">
        <x:v>EXT-044</x:v>
      </x:c>
      <x:c r="B450" s="18" t="str">
        <x:v>Refund-related unrecovered processor fee</x:v>
      </x:c>
      <x:c r="C450" s="18" t="str">
        <x:v>Covered elsewhere</x:v>
      </x:c>
      <x:c r="D450" s="18" t="str">
        <x:v>EXT-040</x:v>
      </x:c>
      <x:c r="E450" s="18" t="str">
        <x:v>Priced in specific selected lines; no duplicate acquisition, payment or engineering charge.</x:v>
      </x:c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48" customHeight="1">
      <x:c r="A451" s="1" t="str">
        <x:v>EXT-001</x:v>
      </x:c>
      <x:c r="B451" s="18" t="str">
        <x:v>Existing-code reuse assessment and acceptance inventory</x:v>
      </x:c>
      <x:c r="C451" s="18" t="str">
        <x:v>Covered elsewhere</x:v>
      </x:c>
      <x:c r="D451" s="18" t="str">
        <x:v>PLA-001</x:v>
      </x:c>
      <x:c r="E451" s="18" t="str">
        <x:v>Priced in specific selected lines; no duplicate acquisition, payment or engineering charge.</x:v>
      </x:c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48" customHeight="1">
      <x:c r="A452" s="1" t="str">
        <x:v>EXT-002</x:v>
      </x:c>
      <x:c r="B452" s="18" t="str">
        <x:v>Separate staging environment deployment</x:v>
      </x:c>
      <x:c r="C452" s="18" t="str">
        <x:v>Covered elsewhere</x:v>
      </x:c>
      <x:c r="D452" s="18" t="str">
        <x:v>PLA-046</x:v>
      </x:c>
      <x:c r="E452" s="18" t="str">
        <x:v>Priced in specific selected lines; no duplicate acquisition, payment or engineering charge.</x:v>
      </x:c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48" customHeight="1">
      <x:c r="A453" s="1" t="str">
        <x:v>EXT-003</x:v>
      </x:c>
      <x:c r="B453" s="18" t="str">
        <x:v>Production environment deployment</x:v>
      </x:c>
      <x:c r="C453" s="18" t="str">
        <x:v>Covered elsewhere</x:v>
      </x:c>
      <x:c r="D453" s="18" t="str">
        <x:v>PLA-046</x:v>
      </x:c>
      <x:c r="E453" s="18" t="str">
        <x:v>Priced in specific selected lines; no duplicate acquisition, payment or engineering charge.</x:v>
      </x:c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48" customHeight="1">
      <x:c r="A454" s="1" t="str">
        <x:v>EXT-005</x:v>
      </x:c>
      <x:c r="B454" s="18" t="str">
        <x:v>DNS configuration and certificate renewal</x:v>
      </x:c>
      <x:c r="C454" s="18" t="str">
        <x:v>Covered elsewhere</x:v>
      </x:c>
      <x:c r="D454" s="18" t="str">
        <x:v>PLA-051</x:v>
      </x:c>
      <x:c r="E454" s="18" t="str">
        <x:v>Priced in specific selected lines; no duplicate acquisition, payment or engineering charge.</x:v>
      </x:c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48" customHeight="1">
      <x:c r="A455" s="1" t="str">
        <x:v>EXT-010</x:v>
      </x:c>
      <x:c r="B455" s="18" t="str">
        <x:v>Database storage overage</x:v>
      </x:c>
      <x:c r="C455" s="18" t="str">
        <x:v>Covered elsewhere</x:v>
      </x:c>
      <x:c r="D455" s="18" t="str">
        <x:v>EXT-008</x:v>
      </x:c>
      <x:c r="E455" s="18" t="str">
        <x:v>Priced in specific selected lines; no duplicate acquisition, payment or engineering charge.</x:v>
      </x:c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48" customHeight="1">
      <x:c r="A456" s="1" t="str">
        <x:v>EXT-012</x:v>
      </x:c>
      <x:c r="B456" s="18" t="str">
        <x:v>Media delivery and egress overage</x:v>
      </x:c>
      <x:c r="C456" s="18" t="str">
        <x:v>Covered elsewhere</x:v>
      </x:c>
      <x:c r="D456" s="18" t="str">
        <x:v>EXT-011</x:v>
      </x:c>
      <x:c r="E456" s="18" t="str">
        <x:v>Priced in specific selected lines; no duplicate acquisition, payment or engineering charge.</x:v>
      </x:c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48" customHeight="1">
      <x:c r="A457" s="1" t="str">
        <x:v>EXT-015</x:v>
      </x:c>
      <x:c r="B457" s="18" t="str">
        <x:v>Backup export automation</x:v>
      </x:c>
      <x:c r="C457" s="18" t="str">
        <x:v>Covered elsewhere</x:v>
      </x:c>
      <x:c r="D457" s="18" t="str">
        <x:v>PLA-048</x:v>
      </x:c>
      <x:c r="E457" s="18" t="str">
        <x:v>Priced in specific selected lines; no duplicate acquisition, payment or engineering charge.</x:v>
      </x:c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48" customHeight="1">
      <x:c r="A458" s="1" t="str">
        <x:v>EXT-017</x:v>
      </x:c>
      <x:c r="B458" s="18" t="str">
        <x:v>Disaster recovery environment and failover rehearsal</x:v>
      </x:c>
      <x:c r="C458" s="18" t="str">
        <x:v>Covered elsewhere</x:v>
      </x:c>
      <x:c r="D458" s="18" t="str">
        <x:v>PLA-049</x:v>
      </x:c>
      <x:c r="E458" s="18" t="str">
        <x:v>Priced in specific selected lines; no duplicate acquisition, payment or engineering charge.</x:v>
      </x:c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48" customHeight="1">
      <x:c r="A459" s="1" t="str">
        <x:v>EXT-025</x:v>
      </x:c>
      <x:c r="B459" s="18" t="str">
        <x:v>Access-isolation regression checks</x:v>
      </x:c>
      <x:c r="C459" s="18" t="str">
        <x:v>Covered elsewhere</x:v>
      </x:c>
      <x:c r="D459" s="18" t="str">
        <x:v>PLA-043</x:v>
      </x:c>
      <x:c r="E459" s="18" t="str">
        <x:v>Priced in specific selected lines; no duplicate acquisition, payment or engineering charge.</x:v>
      </x:c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48" customHeight="1">
      <x:c r="A460" s="1" t="str">
        <x:v>EXT-027</x:v>
      </x:c>
      <x:c r="B460" s="18" t="str">
        <x:v>Safari and physical iPad testing</x:v>
      </x:c>
      <x:c r="C460" s="18" t="str">
        <x:v>Covered elsewhere</x:v>
      </x:c>
      <x:c r="D460" s="18" t="str">
        <x:v>PLA-042</x:v>
      </x:c>
      <x:c r="E460" s="18" t="str">
        <x:v>Priced in specific selected lines; no duplicate acquisition, payment or engineering charge.</x:v>
      </x:c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48" customHeight="1">
      <x:c r="A461" s="1" t="str">
        <x:v>EXT-028</x:v>
      </x:c>
      <x:c r="B461" s="18" t="str">
        <x:v>Device/browser regression testing</x:v>
      </x:c>
      <x:c r="C461" s="18" t="str">
        <x:v>Covered elsewhere</x:v>
      </x:c>
      <x:c r="D461" s="18" t="str">
        <x:v>PLA-043</x:v>
      </x:c>
      <x:c r="E461" s="18" t="str">
        <x:v>Priced in specific selected lines; no duplicate acquisition, payment or engineering charge.</x:v>
      </x:c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48" customHeight="1">
      <x:c r="A462" s="1" t="str">
        <x:v>EXT-029</x:v>
      </x:c>
      <x:c r="B462" s="18" t="str">
        <x:v>Consent and data-retention implementation</x:v>
      </x:c>
      <x:c r="C462" s="18" t="str">
        <x:v>Covered elsewhere</x:v>
      </x:c>
      <x:c r="D462" s="18" t="str">
        <x:v>PLA-009</x:v>
      </x:c>
      <x:c r="E462" s="18" t="str">
        <x:v>Priced in specific selected lines; no duplicate acquisition, payment or engineering charge.</x:v>
      </x:c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48" customHeight="1">
      <x:c r="A463" s="1" t="str">
        <x:v>EXT-030</x:v>
      </x:c>
      <x:c r="B463" s="18" t="str">
        <x:v>Data migration and reconciliation</x:v>
      </x:c>
      <x:c r="C463" s="18" t="str">
        <x:v>Covered elsewhere</x:v>
      </x:c>
      <x:c r="D463" s="18" t="str">
        <x:v>PLA-052</x:v>
      </x:c>
      <x:c r="E463" s="18" t="str">
        <x:v>Priced in specific selected lines; no duplicate acquisition, payment or engineering charge.</x:v>
      </x:c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48" customHeight="1">
      <x:c r="A464" s="1" t="str">
        <x:v>EXT-032</x:v>
      </x:c>
      <x:c r="B464" s="18" t="str">
        <x:v>Transactional email overage</x:v>
      </x:c>
      <x:c r="C464" s="18" t="str">
        <x:v>Covered elsewhere</x:v>
      </x:c>
      <x:c r="D464" s="18" t="str">
        <x:v>EXT-031</x:v>
      </x:c>
      <x:c r="E464" s="18" t="str">
        <x:v>Priced in specific selected lines; no duplicate acquisition, payment or engineering charge.</x:v>
      </x:c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48" customHeight="1">
      <x:c r="A465" s="1" t="str">
        <x:v>EXT-039</x:v>
      </x:c>
      <x:c r="B465" s="18" t="str">
        <x:v>SMS opt-out and consent implementation</x:v>
      </x:c>
      <x:c r="C465" s="18" t="str">
        <x:v>Covered elsewhere</x:v>
      </x:c>
      <x:c r="D465" s="18" t="str">
        <x:v>PLA-039</x:v>
      </x:c>
      <x:c r="E465" s="18" t="str">
        <x:v>Priced in specific selected lines; no duplicate acquisition, payment or engineering charge.</x:v>
      </x:c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48" customHeight="1">
      <x:c r="A466" s="1" t="str">
        <x:v>EXT-045</x:v>
      </x:c>
      <x:c r="B466" s="18" t="str">
        <x:v>Fraud prevention subscription</x:v>
      </x:c>
      <x:c r="C466" s="18" t="str">
        <x:v>Covered elsewhere</x:v>
      </x:c>
      <x:c r="D466" s="18" t="str">
        <x:v>PLA-036</x:v>
      </x:c>
      <x:c r="E466" s="18" t="str">
        <x:v>Priced in specific selected lines; no duplicate acquisition, payment or engineering charge.</x:v>
      </x:c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48" customHeight="1">
      <x:c r="A467" s="1" t="str">
        <x:v>EXT-049</x:v>
      </x:c>
      <x:c r="B467" s="18" t="str">
        <x:v>Store inventory and fulfillment integration</x:v>
      </x:c>
      <x:c r="C467" s="18" t="str">
        <x:v>Covered elsewhere</x:v>
      </x:c>
      <x:c r="D467" s="18" t="str">
        <x:v>PLA-035</x:v>
      </x:c>
      <x:c r="E467" s="18" t="str">
        <x:v>Priced in specific selected lines; no duplicate acquisition, payment or engineering charge.</x:v>
      </x:c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48" customHeight="1">
      <x:c r="A468" s="1" t="str">
        <x:v>EXT-050</x:v>
      </x:c>
      <x:c r="B468" s="18" t="str">
        <x:v>Production rollout support and rollback rehearsal</x:v>
      </x:c>
      <x:c r="C468" s="18" t="str">
        <x:v>Covered elsewhere</x:v>
      </x:c>
      <x:c r="D468" s="18" t="str">
        <x:v>PLA-055</x:v>
      </x:c>
      <x:c r="E468" s="18" t="str">
        <x:v>Priced in specific selected lines; no duplicate acquisition, payment or engineering charge.</x:v>
      </x:c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48" customHeight="1">
      <x:c r="A469" s="1" t="str">
        <x:v>EXT-055</x:v>
      </x:c>
      <x:c r="B469" s="18" t="str">
        <x:v>Plush production unit cost by character</x:v>
      </x:c>
      <x:c r="C469" s="18" t="str">
        <x:v>Covered elsewhere</x:v>
      </x:c>
      <x:c r="D469" s="18" t="str">
        <x:v>MER-PLUSH</x:v>
      </x:c>
      <x:c r="E469" s="18" t="str">
        <x:v>Priced in specific selected lines; no duplicate acquisition, payment or engineering charge.</x:v>
      </x:c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48" customHeight="1">
      <x:c r="A470" s="1" t="str">
        <x:v>EXT-062</x:v>
      </x:c>
      <x:c r="B470" s="18" t="str">
        <x:v>Apparel blank garment cost by size</x:v>
      </x:c>
      <x:c r="C470" s="18" t="str">
        <x:v>Covered elsewhere</x:v>
      </x:c>
      <x:c r="D470" s="18" t="str">
        <x:v>MER-SHIRT</x:v>
      </x:c>
      <x:c r="E470" s="18" t="str">
        <x:v>Priced in specific selected lines; no duplicate acquisition, payment or engineering charge.</x:v>
      </x:c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48" customHeight="1">
      <x:c r="A471" s="1" t="str">
        <x:v>EXT-063</x:v>
      </x:c>
      <x:c r="B471" s="18" t="str">
        <x:v>Apparel print or embroidery cost</x:v>
      </x:c>
      <x:c r="C471" s="18" t="str">
        <x:v>Covered elsewhere</x:v>
      </x:c>
      <x:c r="D471" s="18" t="str">
        <x:v>MER-PRINT</x:v>
      </x:c>
      <x:c r="E471" s="18" t="str">
        <x:v>Priced in specific selected lines; no duplicate acquisition, payment or engineering charge.</x:v>
      </x:c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48" customHeight="1">
      <x:c r="A472" s="1" t="str">
        <x:v>EXT-069</x:v>
      </x:c>
      <x:c r="B472" s="18" t="str">
        <x:v>Book print run by title and language</x:v>
      </x:c>
      <x:c r="C472" s="18" t="str">
        <x:v>Covered elsewhere</x:v>
      </x:c>
      <x:c r="D472" s="18" t="str">
        <x:v>MER-BOOK</x:v>
      </x:c>
      <x:c r="E472" s="18" t="str">
        <x:v>Priced in specific selected lines; no duplicate acquisition, payment or engineering charge.</x:v>
      </x:c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48" customHeight="1">
      <x:c r="A473" s="1" t="str">
        <x:v>EXT-076</x:v>
      </x:c>
      <x:c r="B473" s="18" t="str">
        <x:v>Carpet production cost by size and character</x:v>
      </x:c>
      <x:c r="C473" s="18" t="str">
        <x:v>Covered elsewhere</x:v>
      </x:c>
      <x:c r="D473" s="18" t="str">
        <x:v>MER-RUG</x:v>
      </x:c>
      <x:c r="E473" s="18" t="str">
        <x:v>Priced in specific selected lines; no duplicate acquisition, payment or engineering charge.</x:v>
      </x:c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48" customHeight="1">
      <x:c r="A474" s="1" t="str">
        <x:v>EXT-079</x:v>
      </x:c>
      <x:c r="B474" s="18" t="str">
        <x:v>Poster print by size and language</x:v>
      </x:c>
      <x:c r="C474" s="18" t="str">
        <x:v>Covered elsewhere</x:v>
      </x:c>
      <x:c r="D474" s="18" t="str">
        <x:v>MER-POSTER</x:v>
      </x:c>
      <x:c r="E474" s="18" t="str">
        <x:v>Priced in specific selected lines; no duplicate acquisition, payment or engineering charge.</x:v>
      </x:c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48" customHeight="1">
      <x:c r="A475" s="1" t="str">
        <x:v>EXT-083</x:v>
      </x:c>
      <x:c r="B475" s="18" t="str">
        <x:v>QR link maintenance</x:v>
      </x:c>
      <x:c r="C475" s="18" t="str">
        <x:v>Covered elsewhere</x:v>
      </x:c>
      <x:c r="D475" s="18" t="str">
        <x:v>EXT-021</x:v>
      </x:c>
      <x:c r="E475" s="18" t="str">
        <x:v>Priced in specific selected lines; no duplicate acquisition, payment or engineering charge.</x:v>
      </x:c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48" customHeight="1">
      <x:c r="A476" s="1" t="str">
        <x:v>EXT-085</x:v>
      </x:c>
      <x:c r="B476" s="18" t="str">
        <x:v>Minimum-order inventory cash</x:v>
      </x:c>
      <x:c r="C476" s="18" t="str">
        <x:v>Covered elsewhere</x:v>
      </x:c>
      <x:c r="D476" s="18" t="str">
        <x:v>MER-*</x:v>
      </x:c>
      <x:c r="E476" s="18" t="str">
        <x:v>Priced in specific selected lines; no duplicate acquisition, payment or engineering charge.</x:v>
      </x:c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48" customHeight="1">
      <x:c r="A477" s="1" t="str">
        <x:v>EXT-108</x:v>
      </x:c>
      <x:c r="B477" s="18" t="str">
        <x:v>Branded app and wallpaper deployment</x:v>
      </x:c>
      <x:c r="C477" s="18" t="str">
        <x:v>Covered elsewhere</x:v>
      </x:c>
      <x:c r="D477" s="18" t="str">
        <x:v>PLA-038</x:v>
      </x:c>
      <x:c r="E477" s="18" t="str">
        <x:v>Priced in specific selected lines; no duplicate acquisition, payment or engineering charge.</x:v>
      </x:c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48" customHeight="1">
      <x:c r="A478" s="1" t="str">
        <x:v>EXT-109</x:v>
      </x:c>
      <x:c r="B478" s="18" t="str">
        <x:v>Family QR pairing and test labor</x:v>
      </x:c>
      <x:c r="C478" s="18" t="str">
        <x:v>Covered elsewhere</x:v>
      </x:c>
      <x:c r="D478" s="18" t="str">
        <x:v>PLA-037</x:v>
      </x:c>
      <x:c r="E478" s="18" t="str">
        <x:v>Priced in specific selected lines; no duplicate acquisition, payment or engineering charge.</x:v>
      </x:c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48" customHeight="1">
      <x:c r="A479" s="1" t="str">
        <x:v>EXT-114</x:v>
      </x:c>
      <x:c r="B479" s="18" t="str">
        <x:v>Rental billing integration</x:v>
      </x:c>
      <x:c r="C479" s="18" t="str">
        <x:v>Covered elsewhere</x:v>
      </x:c>
      <x:c r="D479" s="18" t="str">
        <x:v>PLA-036</x:v>
      </x:c>
      <x:c r="E479" s="18" t="str">
        <x:v>Priced in specific selected lines; no duplicate acquisition, payment or engineering charge.</x:v>
      </x:c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48" customHeight="1">
      <x:c r="A480" s="1" t="str">
        <x:v>EXT-115</x:v>
      </x:c>
      <x:c r="B480" s="18" t="str">
        <x:v>Rental payment processing</x:v>
      </x:c>
      <x:c r="C480" s="18" t="str">
        <x:v>Covered elsewhere</x:v>
      </x:c>
      <x:c r="D480" s="18" t="str">
        <x:v>EXT-040</x:v>
      </x:c>
      <x:c r="E480" s="18" t="str">
        <x:v>Priced in specific selected lines; no duplicate acquisition, payment or engineering charge.</x:v>
      </x:c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48" customHeight="1">
      <x:c r="A481" s="1" t="str">
        <x:v>EXT-135</x:v>
      </x:c>
      <x:c r="B481" s="18" t="str">
        <x:v>Family support seat 01 paid leave coverage</x:v>
      </x:c>
      <x:c r="C481" s="18" t="str">
        <x:v>Covered elsewhere</x:v>
      </x:c>
      <x:c r="D481" s="18" t="str">
        <x:v>STA-SUB</x:v>
      </x:c>
      <x:c r="E481" s="18" t="str">
        <x:v>Priced in specific selected lines; no duplicate acquisition, payment or engineering charge.</x:v>
      </x:c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48" customHeight="1">
      <x:c r="A482" s="1" t="str">
        <x:v>EXT-143</x:v>
      </x:c>
      <x:c r="B482" s="18" t="str">
        <x:v>Support escalation and incident communication</x:v>
      </x:c>
      <x:c r="C482" s="18" t="str">
        <x:v>Covered elsewhere</x:v>
      </x:c>
      <x:c r="D482" s="18" t="str">
        <x:v>EXT-125</x:v>
      </x:c>
      <x:c r="E482" s="18" t="str">
        <x:v>Priced in specific selected lines; no duplicate acquisition, payment or engineering charge.</x:v>
      </x:c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48" customHeight="1">
      <x:c r="A483" s="1" t="str">
        <x:v>EXT-144</x:v>
      </x:c>
      <x:c r="B483" s="18" t="str">
        <x:v>Partner demo environment upkeep</x:v>
      </x:c>
      <x:c r="C483" s="18" t="str">
        <x:v>Covered elsewhere</x:v>
      </x:c>
      <x:c r="D483" s="18" t="str">
        <x:v>EXT-006</x:v>
      </x:c>
      <x:c r="E483" s="18" t="str">
        <x:v>Priced in specific selected lines; no duplicate acquisition, payment or engineering charge.</x:v>
      </x:c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48" customHeight="1">
      <x:c r="A484" s="1" t="str">
        <x:v>EXT-164</x:v>
      </x:c>
      <x:c r="B484" s="18" t="str">
        <x:v>Future engineering paid hours</x:v>
      </x:c>
      <x:c r="C484" s="18" t="str">
        <x:v>Covered elsewhere</x:v>
      </x:c>
      <x:c r="D484" s="18" t="str">
        <x:v>PLA-*</x:v>
      </x:c>
      <x:c r="E484" s="18" t="str">
        <x:v>Priced in specific selected lines; no duplicate acquisition, payment or engineering charge.</x:v>
      </x:c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48" customHeight="1">
      <x:c r="A485" s="1" t="str">
        <x:v>EXT-166</x:v>
      </x:c>
      <x:c r="B485" s="18" t="str">
        <x:v>Future content production paid hours</x:v>
      </x:c>
      <x:c r="C485" s="18" t="str">
        <x:v>Covered elsewhere</x:v>
      </x:c>
      <x:c r="D485" s="18" t="str">
        <x:v>CNT-*</x:v>
      </x:c>
      <x:c r="E485" s="18" t="str">
        <x:v>Priced in specific selected lines; no duplicate acquisition, payment or engineering charge.</x:v>
      </x:c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48" customHeight="1">
      <x:c r="A486" s="1" t="str">
        <x:v>EXT-176</x:v>
      </x:c>
      <x:c r="B486" s="18" t="str">
        <x:v>Annual business income-tax preparation</x:v>
      </x:c>
      <x:c r="C486" s="18" t="str">
        <x:v>Covered elsewhere</x:v>
      </x:c>
      <x:c r="D486" s="18" t="str">
        <x:v>OPS-128</x:v>
      </x:c>
      <x:c r="E486" s="18" t="str">
        <x:v>Priced in specific selected lines; no duplicate acquisition, payment or engineering charge.</x:v>
      </x:c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48" customHeight="1">
      <x:c r="A487" s="1" t="str">
        <x:v>EXT-007</x:v>
      </x:c>
      <x:c r="B487" s="18" t="str">
        <x:v>DigitalOcean database compute if selected</x:v>
      </x:c>
      <x:c r="C487" s="18" t="str">
        <x:v>Outside selected scenario</x:v>
      </x:c>
      <x:c r="D487" s="18" t="str"/>
      <x:c r="E487" s="18" t="str">
        <x:v>Supabase selected; do not also buy a second managed database.</x:v>
      </x:c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48" customHeight="1">
      <x:c r="A488" s="1" t="str">
        <x:v>EXT-125</x:v>
      </x:c>
      <x:c r="B488" s="18" t="str">
        <x:v>Family support seat 01 paid wages</x:v>
      </x:c>
      <x:c r="C488" s="18" t="str">
        <x:v>Covered elsewhere</x:v>
      </x:c>
      <x:c r="D488" s="18" t="str">
        <x:v>STA-15</x:v>
      </x:c>
      <x:c r="E488" s="18" t="str">
        <x:v>Family support employee components itemized under staff seat15.</x:v>
      </x:c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48" customHeight="1">
      <x:c r="A489" s="1" t="str">
        <x:v>EXT-126</x:v>
      </x:c>
      <x:c r="B489" s="18" t="str">
        <x:v>Family support seat 01 employer Social Security</x:v>
      </x:c>
      <x:c r="C489" s="18" t="str">
        <x:v>Covered elsewhere</x:v>
      </x:c>
      <x:c r="D489" s="18" t="str">
        <x:v>STA-15</x:v>
      </x:c>
      <x:c r="E489" s="18" t="str">
        <x:v>Family support employee components itemized under staff seat15.</x:v>
      </x:c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48" customHeight="1">
      <x:c r="A490" s="1" t="str">
        <x:v>EXT-127</x:v>
      </x:c>
      <x:c r="B490" s="18" t="str">
        <x:v>Family support seat 01 employer Medicare</x:v>
      </x:c>
      <x:c r="C490" s="18" t="str">
        <x:v>Covered elsewhere</x:v>
      </x:c>
      <x:c r="D490" s="18" t="str">
        <x:v>STA-15</x:v>
      </x:c>
      <x:c r="E490" s="18" t="str">
        <x:v>Family support employee components itemized under staff seat15.</x:v>
      </x:c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48" customHeight="1">
      <x:c r="A491" s="1" t="str">
        <x:v>EXT-128</x:v>
      </x:c>
      <x:c r="B491" s="18" t="str">
        <x:v>Family support seat 01 federal unemployment</x:v>
      </x:c>
      <x:c r="C491" s="18" t="str">
        <x:v>Covered elsewhere</x:v>
      </x:c>
      <x:c r="D491" s="18" t="str">
        <x:v>STA-15</x:v>
      </x:c>
      <x:c r="E491" s="18" t="str">
        <x:v>Family support employee components itemized under staff seat15.</x:v>
      </x:c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48" customHeight="1">
      <x:c r="A492" s="1" t="str">
        <x:v>EXT-129</x:v>
      </x:c>
      <x:c r="B492" s="18" t="str">
        <x:v>Family support seat 01 state unemployment</x:v>
      </x:c>
      <x:c r="C492" s="18" t="str">
        <x:v>Covered elsewhere</x:v>
      </x:c>
      <x:c r="D492" s="18" t="str">
        <x:v>STA-15</x:v>
      </x:c>
      <x:c r="E492" s="18" t="str">
        <x:v>Family support employee components itemized under staff seat15.</x:v>
      </x:c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48" customHeight="1">
      <x:c r="A493" s="1" t="str">
        <x:v>EXT-130</x:v>
      </x:c>
      <x:c r="B493" s="18" t="str">
        <x:v>Family support seat 01 health insurance</x:v>
      </x:c>
      <x:c r="C493" s="18" t="str">
        <x:v>Covered elsewhere</x:v>
      </x:c>
      <x:c r="D493" s="18" t="str">
        <x:v>STA-15</x:v>
      </x:c>
      <x:c r="E493" s="18" t="str">
        <x:v>Family support employee components itemized under staff seat15.</x:v>
      </x:c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48" customHeight="1">
      <x:c r="A494" s="1" t="str">
        <x:v>EXT-131</x:v>
      </x:c>
      <x:c r="B494" s="18" t="str">
        <x:v>Family support seat 01 dental insurance</x:v>
      </x:c>
      <x:c r="C494" s="18" t="str">
        <x:v>Covered elsewhere</x:v>
      </x:c>
      <x:c r="D494" s="18" t="str">
        <x:v>STA-15</x:v>
      </x:c>
      <x:c r="E494" s="18" t="str">
        <x:v>Family support employee components itemized under staff seat15.</x:v>
      </x:c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48" customHeight="1">
      <x:c r="A495" s="1" t="str">
        <x:v>EXT-132</x:v>
      </x:c>
      <x:c r="B495" s="18" t="str">
        <x:v>Family support seat 01 vision insurance</x:v>
      </x:c>
      <x:c r="C495" s="18" t="str">
        <x:v>Covered elsewhere</x:v>
      </x:c>
      <x:c r="D495" s="18" t="str">
        <x:v>STA-15</x:v>
      </x:c>
      <x:c r="E495" s="18" t="str">
        <x:v>Family support employee components itemized under staff seat15.</x:v>
      </x:c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48" customHeight="1">
      <x:c r="A496" s="1" t="str">
        <x:v>EXT-133</x:v>
      </x:c>
      <x:c r="B496" s="18" t="str">
        <x:v>Family support seat 01 retirement match</x:v>
      </x:c>
      <x:c r="C496" s="18" t="str">
        <x:v>Covered elsewhere</x:v>
      </x:c>
      <x:c r="D496" s="18" t="str">
        <x:v>STA-15</x:v>
      </x:c>
      <x:c r="E496" s="18" t="str">
        <x:v>Family support employee components itemized under staff seat15.</x:v>
      </x:c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48" customHeight="1">
      <x:c r="A497" s="1" t="str">
        <x:v>EXT-134</x:v>
      </x:c>
      <x:c r="B497" s="18" t="str">
        <x:v>Family support seat 01 workers compensation</x:v>
      </x:c>
      <x:c r="C497" s="18" t="str">
        <x:v>Covered elsewhere</x:v>
      </x:c>
      <x:c r="D497" s="18" t="str">
        <x:v>STA-15</x:v>
      </x:c>
      <x:c r="E497" s="18" t="str">
        <x:v>Family support employee components itemized under staff seat15.</x:v>
      </x:c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48" customHeight="1">
      <x:c r="A498" s="1" t="str">
        <x:v>EXT-145</x:v>
      </x:c>
      <x:c r="B498" s="18" t="str">
        <x:v>New partner data migration</x:v>
      </x:c>
      <x:c r="C498" s="18" t="str">
        <x:v>Outside selected scenario</x:v>
      </x:c>
      <x:c r="D498" s="18" t="str"/>
      <x:c r="E498" s="18" t="str">
        <x:v>One launch location. Future partner onboarding/travel not assumed; priced engineering supports future tenants, rollout cash added on contracts.</x:v>
      </x:c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48" customHeight="1">
      <x:c r="A499" s="1" t="str">
        <x:v>EXT-146</x:v>
      </x:c>
      <x:c r="B499" s="18" t="str">
        <x:v>New partner permission and tenant-isolation checks</x:v>
      </x:c>
      <x:c r="C499" s="18" t="str">
        <x:v>Outside selected scenario</x:v>
      </x:c>
      <x:c r="D499" s="18" t="str"/>
      <x:c r="E499" s="18" t="str">
        <x:v>One launch location. Future partner onboarding/travel not assumed; priced engineering supports future tenants, rollout cash added on contracts.</x:v>
      </x:c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48" customHeight="1">
      <x:c r="A500" s="1" t="str">
        <x:v>EXT-147</x:v>
      </x:c>
      <x:c r="B500" s="18" t="str">
        <x:v>Partner curriculum and brand training</x:v>
      </x:c>
      <x:c r="C500" s="18" t="str">
        <x:v>Outside selected scenario</x:v>
      </x:c>
      <x:c r="D500" s="18" t="str"/>
      <x:c r="E500" s="18" t="str">
        <x:v>One launch location. Future partner onboarding/travel not assumed; priced engineering supports future tenants, rollout cash added on contracts.</x:v>
      </x:c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48" customHeight="1">
      <x:c r="A501" s="1" t="str">
        <x:v>EXT-148</x:v>
      </x:c>
      <x:c r="B501" s="18" t="str">
        <x:v>Partner contract and renewal administration</x:v>
      </x:c>
      <x:c r="C501" s="18" t="str">
        <x:v>Outside selected scenario</x:v>
      </x:c>
      <x:c r="D501" s="18" t="str"/>
      <x:c r="E501" s="18" t="str">
        <x:v>One launch location. Future partner onboarding/travel not assumed; priced engineering supports future tenants, rollout cash added on contracts.</x:v>
      </x:c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48" customHeight="1">
      <x:c r="A502" s="1" t="str">
        <x:v>EXT-149</x:v>
      </x:c>
      <x:c r="B502" s="18" t="str">
        <x:v>Partner billing and royalty reconciliation</x:v>
      </x:c>
      <x:c r="C502" s="18" t="str">
        <x:v>Outside selected scenario</x:v>
      </x:c>
      <x:c r="D502" s="18" t="str"/>
      <x:c r="E502" s="18" t="str">
        <x:v>One launch location. Future partner onboarding/travel not assumed; priced engineering supports future tenants, rollout cash added on contracts.</x:v>
      </x:c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48" customHeight="1">
      <x:c r="A503" s="1" t="str">
        <x:v>EXT-150</x:v>
      </x:c>
      <x:c r="B503" s="18" t="str">
        <x:v>Partner travel mileage</x:v>
      </x:c>
      <x:c r="C503" s="18" t="str">
        <x:v>Outside selected scenario</x:v>
      </x:c>
      <x:c r="D503" s="18" t="str"/>
      <x:c r="E503" s="18" t="str">
        <x:v>One launch location. Future partner onboarding/travel not assumed; priced engineering supports future tenants, rollout cash added on contracts.</x:v>
      </x:c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48" customHeight="1">
      <x:c r="A504" s="1" t="str">
        <x:v>EXT-151</x:v>
      </x:c>
      <x:c r="B504" s="18" t="str">
        <x:v>Partner travel lodging</x:v>
      </x:c>
      <x:c r="C504" s="18" t="str">
        <x:v>Outside selected scenario</x:v>
      </x:c>
      <x:c r="D504" s="18" t="str"/>
      <x:c r="E504" s="18" t="str">
        <x:v>One launch location. Future partner onboarding/travel not assumed; priced engineering supports future tenants, rollout cash added on contracts.</x:v>
      </x:c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48" customHeight="1">
      <x:c r="A505" s="1" t="str">
        <x:v>EXT-152</x:v>
      </x:c>
      <x:c r="B505" s="18" t="str">
        <x:v>Partner implementation completion review</x:v>
      </x:c>
      <x:c r="C505" s="18" t="str">
        <x:v>Outside selected scenario</x:v>
      </x:c>
      <x:c r="D505" s="18" t="str"/>
      <x:c r="E505" s="18" t="str">
        <x:v>One launch location. Future partner onboarding/travel not assumed; priced engineering supports future tenants, rollout cash added on contracts.</x:v>
      </x:c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48" customHeight="1">
      <x:c r="A506" s="1" t="str">
        <x:v>EXT-153</x:v>
      </x:c>
      <x:c r="B506" s="18" t="str">
        <x:v>Customer cancellation and data export labor</x:v>
      </x:c>
      <x:c r="C506" s="18" t="str">
        <x:v>Outside selected scenario</x:v>
      </x:c>
      <x:c r="D506" s="18" t="str"/>
      <x:c r="E506" s="18" t="str">
        <x:v>One launch location. Future partner onboarding/travel not assumed; priced engineering supports future tenants, rollout cash added on contracts.</x:v>
      </x:c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48" customHeight="1">
      <x:c r="A507" s="1" t="str">
        <x:v>EXT-154</x:v>
      </x:c>
      <x:c r="B507" s="18" t="str">
        <x:v>Historical website development reconciliation</x:v>
      </x:c>
      <x:c r="C507" s="18" t="str">
        <x:v>Covered elsewhere</x:v>
      </x:c>
      <x:c r="D507" s="18" t="str">
        <x:v>Replacement</x:v>
      </x:c>
      <x:c r="E507" s="18" t="str">
        <x:v>Historical work value not a future cash obligation without signed contract, hour records and ownership evidence.</x:v>
      </x:c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48" customHeight="1">
      <x:c r="A508" s="1" t="str">
        <x:v>EXT-155</x:v>
      </x:c>
      <x:c r="B508" s="18" t="str">
        <x:v>Historical CRM development reconciliation</x:v>
      </x:c>
      <x:c r="C508" s="18" t="str">
        <x:v>Covered elsewhere</x:v>
      </x:c>
      <x:c r="D508" s="18" t="str">
        <x:v>Replacement</x:v>
      </x:c>
      <x:c r="E508" s="18" t="str">
        <x:v>Historical work value not a future cash obligation without signed contract, hour records and ownership evidence.</x:v>
      </x:c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48" customHeight="1">
      <x:c r="A509" s="1" t="str">
        <x:v>EXT-156</x:v>
      </x:c>
      <x:c r="B509" s="18" t="str">
        <x:v>Historical ATS development reconciliation</x:v>
      </x:c>
      <x:c r="C509" s="18" t="str">
        <x:v>Covered elsewhere</x:v>
      </x:c>
      <x:c r="D509" s="18" t="str">
        <x:v>Replacement</x:v>
      </x:c>
      <x:c r="E509" s="18" t="str">
        <x:v>Historical work value not a future cash obligation without signed contract, hour records and ownership evidence.</x:v>
      </x:c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48" customHeight="1">
      <x:c r="A510" s="1" t="str">
        <x:v>EXT-157</x:v>
      </x:c>
      <x:c r="B510" s="18" t="str">
        <x:v>Historical storefront development reconciliation</x:v>
      </x:c>
      <x:c r="C510" s="18" t="str">
        <x:v>Covered elsewhere</x:v>
      </x:c>
      <x:c r="D510" s="18" t="str">
        <x:v>Replacement</x:v>
      </x:c>
      <x:c r="E510" s="18" t="str">
        <x:v>Historical work value not a future cash obligation without signed contract, hour records and ownership evidence.</x:v>
      </x:c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48" customHeight="1">
      <x:c r="A511" s="1" t="str">
        <x:v>EXT-158</x:v>
      </x:c>
      <x:c r="B511" s="18" t="str">
        <x:v>Historical portal development reconciliation</x:v>
      </x:c>
      <x:c r="C511" s="18" t="str">
        <x:v>Covered elsewhere</x:v>
      </x:c>
      <x:c r="D511" s="18" t="str">
        <x:v>Replacement</x:v>
      </x:c>
      <x:c r="E511" s="18" t="str">
        <x:v>Historical work value not a future cash obligation without signed contract, hour records and ownership evidence.</x:v>
      </x:c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48" customHeight="1">
      <x:c r="A512" s="1" t="str">
        <x:v>EXT-159</x:v>
      </x:c>
      <x:c r="B512" s="18" t="str">
        <x:v>Historical character design reconciliation</x:v>
      </x:c>
      <x:c r="C512" s="18" t="str">
        <x:v>Covered elsewhere</x:v>
      </x:c>
      <x:c r="D512" s="18" t="str">
        <x:v>Replacement</x:v>
      </x:c>
      <x:c r="E512" s="18" t="str">
        <x:v>Historical work value not a future cash obligation without signed contract, hour records and ownership evidence.</x:v>
      </x:c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48" customHeight="1">
      <x:c r="A513" s="1" t="str">
        <x:v>EXT-160</x:v>
      </x:c>
      <x:c r="B513" s="18" t="str">
        <x:v>Historical logo and brand design reconciliation</x:v>
      </x:c>
      <x:c r="C513" s="18" t="str">
        <x:v>Covered elsewhere</x:v>
      </x:c>
      <x:c r="D513" s="18" t="str">
        <x:v>Replacement</x:v>
      </x:c>
      <x:c r="E513" s="18" t="str">
        <x:v>Historical work value not a future cash obligation without signed contract, hour records and ownership evidence.</x:v>
      </x:c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48" customHeight="1">
      <x:c r="A514" s="1" t="str">
        <x:v>EXT-161</x:v>
      </x:c>
      <x:c r="B514" s="18" t="str">
        <x:v>Historical curriculum and content creation reconciliation</x:v>
      </x:c>
      <x:c r="C514" s="18" t="str">
        <x:v>Covered elsewhere</x:v>
      </x:c>
      <x:c r="D514" s="18" t="str">
        <x:v>Replacement</x:v>
      </x:c>
      <x:c r="E514" s="18" t="str">
        <x:v>Historical work value not a future cash obligation without signed contract, hour records and ownership evidence.</x:v>
      </x:c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48" customHeight="1">
      <x:c r="A515" s="1" t="str">
        <x:v>EXT-162</x:v>
      </x:c>
      <x:c r="B515" s="18" t="str">
        <x:v>Historical asset rights and ownership documentation</x:v>
      </x:c>
      <x:c r="C515" s="18" t="str">
        <x:v>Covered elsewhere</x:v>
      </x:c>
      <x:c r="D515" s="18" t="str">
        <x:v>Replacement</x:v>
      </x:c>
      <x:c r="E515" s="18" t="str">
        <x:v>Historical work value not a future cash obligation without signed contract, hour records and ownership evidence.</x:v>
      </x:c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48" customHeight="1">
      <x:c r="A516" s="1" t="str">
        <x:v>EXT-168</x:v>
      </x:c>
      <x:c r="B516" s="18" t="str">
        <x:v>Loan origination fee</x:v>
      </x:c>
      <x:c r="C516" s="18" t="str">
        <x:v>Covered elsewhere</x:v>
      </x:c>
      <x:c r="D516" s="18" t="str">
        <x:v>Financing</x:v>
      </x:c>
      <x:c r="E516" s="18" t="str">
        <x:v>No accepted loan terms. Loan sensitivity is separate; fees, principal and interest are not inserted as arbitrary funding use.</x:v>
      </x:c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48" customHeight="1">
      <x:c r="A517" s="1" t="str">
        <x:v>EXT-170</x:v>
      </x:c>
      <x:c r="B517" s="18" t="str">
        <x:v>Loan principal repayment cash flow</x:v>
      </x:c>
      <x:c r="C517" s="18" t="str">
        <x:v>Covered elsewhere</x:v>
      </x:c>
      <x:c r="D517" s="18" t="str">
        <x:v>Financing</x:v>
      </x:c>
      <x:c r="E517" s="18" t="str">
        <x:v>No accepted loan terms. Loan sensitivity is separate; fees, principal and interest are not inserted as arbitrary funding use.</x:v>
      </x:c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48" customHeight="1">
      <x:c r="A518" s="1" t="str">
        <x:v>EXT-171</x:v>
      </x:c>
      <x:c r="B518" s="18" t="str">
        <x:v>Loan interest expense</x:v>
      </x:c>
      <x:c r="C518" s="18" t="str">
        <x:v>Covered elsewhere</x:v>
      </x:c>
      <x:c r="D518" s="18" t="str">
        <x:v>Financing</x:v>
      </x:c>
      <x:c r="E518" s="18" t="str">
        <x:v>No accepted loan terms. Loan sensitivity is separate; fees, principal and interest are not inserted as arbitrary funding use.</x:v>
      </x:c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48" customHeight="1">
      <x:c r="A519" s="1" t="str">
        <x:v>EXT-172</x:v>
      </x:c>
      <x:c r="B519" s="18" t="str">
        <x:v>Conditional capped revenue-share payment</x:v>
      </x:c>
      <x:c r="C519" s="18" t="str">
        <x:v>Covered elsewhere</x:v>
      </x:c>
      <x:c r="D519" s="18" t="str">
        <x:v>Financing</x:v>
      </x:c>
      <x:c r="E519" s="18" t="str">
        <x:v>No accepted loan terms. Loan sensitivity is separate; fees, principal and interest are not inserted as arbitrary funding use.</x:v>
      </x:c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7d2c76c7a9a4feb"/>
  </x:tableParts>
</x:worksheet>
</file>

<file path=xl/worksheets/sheet6.xml><?xml version="1.0" encoding="utf-8"?>
<x:worksheet xmlns:x="http://schemas.openxmlformats.org/spreadsheetml/2006/main">
  <x:sheetPr>
    <x:tabColor rgb="FF7C5CF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5" hidden="0" customWidth="1"/>
    <x:col min="3" max="3" width="34" hidden="0" customWidth="1"/>
    <x:col min="4" max="4" width="68" hidden="0" customWidth="1"/>
    <x:col min="5" max="5" width="76" hidden="0" customWidth="1"/>
  </x:cols>
  <x:sheetData>
    <x:row r="1" ht="34" customHeight="1">
      <x:c r="A1" s="4" t="str">
        <x:v>Comparators | market anchors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7" t="str">
        <x:v>Published comparator prices inform pricing posture; they do not replace a quote for a custom multi-tenant product.</x:v>
      </x:c>
      <x:c r="B2" s="7"/>
      <x:c r="C2" s="7"/>
      <x:c r="D2" s="7"/>
      <x:c r="E2" s="7"/>
      <x:c r="F2" s="7"/>
      <x:c r="G2" s="7"/>
      <x:c r="H2" s="7"/>
      <x:c r="I2" s="7"/>
      <x:c r="J2" s="7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13" t="str">
        <x:v>Comparator</x:v>
      </x:c>
      <x:c r="B4" s="13" t="str">
        <x:v>Category</x:v>
      </x:c>
      <x:c r="C4" s="13" t="str">
        <x:v>Published price / range</x:v>
      </x:c>
      <x:c r="D4" s="13" t="str">
        <x:v>URL</x:v>
      </x:c>
      <x:c r="E4" s="13" t="str">
        <x:v>Interpretation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94" customHeight="1">
      <x:c r="A5" s="18" t="str">
        <x:v>EspoCRM Cloud | Basic</x:v>
      </x:c>
      <x:c r="B5" s="18" t="str">
        <x:v>CRM</x:v>
      </x:c>
      <x:c r="C5" s="18" t="str">
        <x:v>15 user/month</x:v>
      </x:c>
      <x:c r="D5" s="18" t="str">
        <x:v>https://www.espocrm.com/cloud/</x:v>
      </x:c>
      <x:c r="E5" s="18" t="str">
        <x:v>Billed for 6 months or 1 year; extra users charged monthly | 3-user minimum; minimum contracted monthly equivalent is $45.00 | 3 GB storage per user; 100,000 records; full feature set, API, 2,000+ integrations, 12x5 support; daily backups with 7-day retention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94" customHeight="1">
      <x:c r="A6" s="18" t="str">
        <x:v>EspoCRM Cloud | Enterprise</x:v>
      </x:c>
      <x:c r="B6" s="18" t="str">
        <x:v>CRM</x:v>
      </x:c>
      <x:c r="C6" s="18" t="str">
        <x:v>25 user/month</x:v>
      </x:c>
      <x:c r="D6" s="18" t="str">
        <x:v>https://www.espocrm.com/cloud/</x:v>
      </x:c>
      <x:c r="E6" s="18" t="str">
        <x:v>Billed for 6 months or 1 year; extra users charged monthly | 5-user minimum; minimum contracted monthly equivalent is $125.00 | 10 GB storage per user; 10,000,000 records; full feature set, API, 2,000+ integrations, 12x5 support; daily backups with 7-day retention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94" customHeight="1">
      <x:c r="A7" s="18" t="str">
        <x:v>Pipedrive | Lite / Growth / Premium / Ultimate</x:v>
      </x:c>
      <x:c r="B7" s="18" t="str">
        <x:v>CRM</x:v>
      </x:c>
      <x:c r="C7" s="18" t="str">
        <x:v>14 / 39 / 59 / 79 seat/month</x:v>
      </x:c>
      <x:c r="D7" s="18" t="str">
        <x:v>https://www.pipedrive.com/en/pricing</x:v>
      </x:c>
      <x:c r="E7" s="18" t="str">
        <x:v>Displayed rates are per seat/month billed annually; annual totals shown by vendor are $168 / $468 / $708 / $948 per seat | Per-seat pricing; VAT excluded; 14-day trial; optional add-ons priced separately | Lite includes lead, calendar and pipeline management; higher tiers add automations, email sync, scoring, e-signatures, sandbox and security controls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94" customHeight="1">
      <x:c r="A8" s="18" t="str">
        <x:v>Manatal | Professional</x:v>
      </x:c>
      <x:c r="B8" s="18" t="str">
        <x:v>ATS</x:v>
      </x:c>
      <x:c r="C8" s="18" t="str">
        <x:v>15 user/month</x:v>
      </x:c>
      <x:c r="D8" s="18" t="str">
        <x:v>https://www.manatal.com/pricing</x:v>
      </x:c>
      <x:c r="E8" s="18" t="str">
        <x:v>Billed annually | Per-user pricing; 14-day free trial; taxes may apply | 15 jobs per account; up to 10,000 candidates; unlimited hiring managers; 24/5 support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94" customHeight="1">
      <x:c r="A9" s="18" t="str">
        <x:v>Zoho Recruit | Standard / Enterprise</x:v>
      </x:c>
      <x:c r="B9" s="18" t="str">
        <x:v>ATS</x:v>
      </x:c>
      <x:c r="C9" s="18" t="str">
        <x:v>25 / 50 annually; 30 / 60 monthly recruiter/month</x:v>
      </x:c>
      <x:c r="D9" s="18" t="str">
        <x:v>https://www.zoho.com/sites/default/files/recruit/zoho-recruit-corporate-usd.pdf</x:v>
      </x:c>
      <x:c r="E9" s="18" t="str">
        <x:v>Annual and monthly rates are both published; rates are per recruiter | Hiring-manager/employee licenses are sold in packs of 10 where applicable; 15-day trial | Standard: 10 active jobs per recruiter and 250 resume parses/day; Enterprise: 20 active jobs per recruiter and unlimited resume parsing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94" customHeight="1">
      <x:c r="A10" s="18" t="str">
        <x:v>Workable | Standard / Premier / Enterprise</x:v>
      </x:c>
      <x:c r="B10" s="18" t="str">
        <x:v>ATS</x:v>
      </x:c>
      <x:c r="C10" s="18" t="str">
        <x:v>299 / 599 / 719 account/month</x:v>
      </x:c>
      <x:c r="D10" s="18" t="str">
        <x:v>https://www.workable.com/pricing</x:v>
      </x:c>
      <x:c r="E10" s="18" t="str">
        <x:v>Monthly rates; annual totals published as $3,588 / $7,188 / $8,628 | Base displayed band covers 1–20 employees; higher employee bands are selectable; 15-day trial | Unlimited active jobs subject to fair-usage limits; recruiting and HR bundle includes candidate sourcing, ATS, careers page, reporting and HR features; Premier includes texting, video interviews, assessments and referrals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94" customHeight="1">
      <x:c r="A11" s="18" t="str">
        <x:v>WooCommerce | Core platform</x:v>
      </x:c>
      <x:c r="B11" s="18" t="str">
        <x:v>Storefront</x:v>
      </x:c>
      <x:c r="C11" s="18" t="str">
        <x:v>0 platform/month</x:v>
      </x:c>
      <x:c r="D11" s="18" t="str">
        <x:v>https://woocommerce.com/pricing/</x:v>
      </x:c>
      <x:c r="E11" s="18" t="str">
        <x:v>No monthly platform subscription; hosting, extensions, development and payment processing are separate | Self-hosted WordPress/WooCommerce installation | Core software is free and open source; official guidance says most stores spend $25–$350/month on hosting and $29–$299/year per extension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94" customHeight="1">
      <x:c r="A12" s="18" t="str">
        <x:v>WooCommerce | Typical store operating allowances</x:v>
      </x:c>
      <x:c r="B12" s="18" t="str">
        <x:v>Storefront</x:v>
      </x:c>
      <x:c r="C12" s="18" t="str">
        <x:v>$25–$350 hosting/month; $29–$299 per extension/year store</x:v>
      </x:c>
      <x:c r="D12" s="18" t="str">
        <x:v>https://woocommerce.com/pricing/</x:v>
      </x:c>
      <x:c r="E12" s="18" t="str">
        <x:v>Published ranges; actual cost varies with traffic, performance and extension selection | Self-hosted store; excludes custom development and payment processing | WooPayments example is approximately 2.50–2.90% + $0.30 per transaction; this is a variable processor fee, not a fixed subscription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ac8392fa30c4e60"/>
  </x:tableParts>
</x:worksheet>
</file>

<file path=xl/worksheets/sheet7.xml><?xml version="1.0" encoding="utf-8"?>
<x:worksheet xmlns:x="http://schemas.openxmlformats.org/spreadsheetml/2006/main">
  <x:sheetPr>
    <x:tabColor rgb="FFF08A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0" hidden="0" customWidth="1"/>
    <x:col min="5" max="5" width="24" hidden="0" customWidth="1"/>
    <x:col min="6" max="6" width="44" hidden="0" customWidth="1"/>
  </x:cols>
  <x:sheetData>
    <x:row r="1" ht="34" customHeight="1">
      <x:c r="A1" s="4" t="str">
        <x:v>Replacement value | engineering comparator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7" t="str">
        <x:v>Replacement value estimates what an agency might charge to recreate modules. It is separate from the completed platform claim and excluded from the year-1 cash total.</x:v>
      </x:c>
      <x:c r="B2" s="7"/>
      <x:c r="C2" s="7"/>
      <x:c r="D2" s="7"/>
      <x:c r="E2" s="7"/>
      <x:c r="F2" s="7"/>
      <x:c r="G2" s="7"/>
      <x:c r="H2" s="7"/>
      <x:c r="I2" s="7"/>
      <x:c r="J2" s="7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13" t="str">
        <x:v>Module</x:v>
      </x:c>
      <x:c r="B4" s="13" t="str">
        <x:v>Assumed hours</x:v>
      </x:c>
      <x:c r="C4" s="13" t="str">
        <x:v>Allowance rate</x:v>
      </x:c>
      <x:c r="D4" s="13" t="str">
        <x:v>Planning value</x:v>
      </x:c>
      <x:c r="E4" s="13" t="str">
        <x:v>Vendor comparator</x:v>
      </x:c>
      <x:c r="F4" s="13" t="str">
        <x:v>Status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60" customHeight="1">
      <x:c r="A5" s="1" t="str">
        <x:v>Public bilingual website</x:v>
      </x:c>
      <x:c r="B5" s="1" t="n">
        <x:v>500</x:v>
      </x:c>
      <x:c r="C5" s="14" t="n">
        <x:v>175</x:v>
      </x:c>
      <x:c r="D5" s="14" t="n">
        <x:v>87500</x:v>
      </x:c>
      <x:c r="E5" s="14" t="n">
        <x:v>140000</x:v>
      </x:c>
      <x:c r="F5" s="18" t="str">
        <x:v>Hypothetical replacement engineering scenario; not verified delivered valuation or amount owed. May overlap modules; technical inventory needed.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60" customHeight="1">
      <x:c r="A6" s="1" t="str">
        <x:v>CRM workflows</x:v>
      </x:c>
      <x:c r="B6" s="1" t="n">
        <x:v>600</x:v>
      </x:c>
      <x:c r="C6" s="14" t="n">
        <x:v>175</x:v>
      </x:c>
      <x:c r="D6" s="14" t="n">
        <x:v>105000</x:v>
      </x:c>
      <x:c r="E6" s="14" t="n">
        <x:v>168000</x:v>
      </x:c>
      <x:c r="F6" s="18" t="str">
        <x:v>Hypothetical replacement engineering scenario; not verified delivered valuation or amount owed. May overlap modules; technical inventory needed.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60" customHeight="1">
      <x:c r="A7" s="1" t="str">
        <x:v>ATS workflows</x:v>
      </x:c>
      <x:c r="B7" s="1" t="n">
        <x:v>400</x:v>
      </x:c>
      <x:c r="C7" s="14" t="n">
        <x:v>175</x:v>
      </x:c>
      <x:c r="D7" s="14" t="n">
        <x:v>70000</x:v>
      </x:c>
      <x:c r="E7" s="14" t="n">
        <x:v>112000</x:v>
      </x:c>
      <x:c r="F7" s="18" t="str">
        <x:v>Hypothetical replacement engineering scenario; not verified delivered valuation or amount owed. May overlap modules; technical inventory needed.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60" customHeight="1">
      <x:c r="A8" s="1" t="str">
        <x:v>Storefront</x:v>
      </x:c>
      <x:c r="B8" s="1" t="n">
        <x:v>300</x:v>
      </x:c>
      <x:c r="C8" s="14" t="n">
        <x:v>175</x:v>
      </x:c>
      <x:c r="D8" s="14" t="n">
        <x:v>52500</x:v>
      </x:c>
      <x:c r="E8" s="14" t="n">
        <x:v>84000</x:v>
      </x:c>
      <x:c r="F8" s="18" t="str">
        <x:v>Hypothetical replacement engineering scenario; not verified delivered valuation or amount owed. May overlap modules; technical inventory needed.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60" customHeight="1">
      <x:c r="A9" s="1" t="str">
        <x:v>Parent/staff/partner portals</x:v>
      </x:c>
      <x:c r="B9" s="1" t="n">
        <x:v>600</x:v>
      </x:c>
      <x:c r="C9" s="14" t="n">
        <x:v>175</x:v>
      </x:c>
      <x:c r="D9" s="14" t="n">
        <x:v>105000</x:v>
      </x:c>
      <x:c r="E9" s="14" t="n">
        <x:v>168000</x:v>
      </x:c>
      <x:c r="F9" s="18" t="str">
        <x:v>Hypothetical replacement engineering scenario; not verified delivered valuation or amount owed. May overlap modules; technical inventory needed.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60" customHeight="1">
      <x:c r="A10" s="1" t="str">
        <x:v>Brand and characters</x:v>
      </x:c>
      <x:c r="B10" s="1" t="n">
        <x:v>400</x:v>
      </x:c>
      <x:c r="C10" s="14" t="n">
        <x:v>175</x:v>
      </x:c>
      <x:c r="D10" s="14" t="n">
        <x:v>70000</x:v>
      </x:c>
      <x:c r="E10" s="14" t="n">
        <x:v>112000</x:v>
      </x:c>
      <x:c r="F10" s="18" t="str">
        <x:v>Hypothetical replacement engineering scenario; not verified delivered valuation or amount owed. May overlap modules; technical inventory needed.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60" customHeight="1">
      <x:c r="A11" s="1" t="str">
        <x:v>Existing curriculum and content</x:v>
      </x:c>
      <x:c r="B11" s="1" t="n">
        <x:v>400</x:v>
      </x:c>
      <x:c r="C11" s="14" t="n">
        <x:v>175</x:v>
      </x:c>
      <x:c r="D11" s="14" t="n">
        <x:v>70000</x:v>
      </x:c>
      <x:c r="E11" s="14" t="n">
        <x:v>112000</x:v>
      </x:c>
      <x:c r="F11" s="18" t="str">
        <x:v>Hypothetical replacement engineering scenario; not verified delivered valuation or amount owed. May overlap modules; technical inventory needed.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07f28e0fe2e4aac"/>
  </x:tableParts>
</x:worksheet>
</file>

<file path=xl/worksheets/sheet8.xml><?xml version="1.0" encoding="utf-8"?>
<x:worksheet xmlns:x="http://schemas.openxmlformats.org/spreadsheetml/2006/main">
  <x:sheetPr>
    <x:tabColor rgb="FF6B7280"/>
  </x:sheetPr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66" hidden="0" customWidth="1"/>
  </x:cols>
  <x:sheetData>
    <x:row r="1" ht="34" customHeight="1">
      <x:c r="A1" s="4" t="str">
        <x:v>Document facts | source-of-record context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7" t="str">
        <x:v>Facts imported from the current model package. They are context, not automatically verified operating results.</x:v>
      </x:c>
      <x:c r="B2" s="7"/>
      <x:c r="C2" s="7"/>
      <x:c r="D2" s="7"/>
      <x:c r="E2" s="7"/>
      <x:c r="F2" s="7"/>
      <x:c r="G2" s="7"/>
      <x:c r="H2" s="7"/>
      <x:c r="I2" s="7"/>
      <x:c r="J2" s="7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8" customHeight="1">
      <x:c r="A4" s="13" t="str">
        <x:v>Fact</x:v>
      </x:c>
      <x:c r="B4" s="13" t="str">
        <x:v>Value</x:v>
      </x:c>
      <x:c r="C4" s="13" t="str">
        <x:v>Evidence / notes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00" customHeight="1">
      <x:c r="A5" s="18" t="str">
        <x:v>Launch scope</x:v>
      </x:c>
      <x:c r="B5" s="18" t="str">
        <x:v>One location, children ages 2–5; owner confirmed.</x:v>
      </x:c>
      <x:c r="C5" s="18" t="str">
        <x:v>Owner reply 2026-10-10; original business plan v1.1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00" customHeight="1">
      <x:c r="A6" s="18" t="str">
        <x:v>Capacity</x:v>
      </x:c>
      <x:c r="B6" s="18" t="str">
        <x:v>Records show 40, 50 and 41. No current license or approved room plan established; 40 is a costing assumption.</x:v>
      </x:c>
      <x:c r="C6" s="18" t="str">
        <x:v>00_START_HERE/audit_detail/investor.md; Business Plan v1.1; Investor Package v4.2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00" customHeight="1">
      <x:c r="A7" s="18" t="str">
        <x:v>Hours and staffing</x:v>
      </x:c>
      <x:c r="B7" s="18" t="str">
        <x:v>Historical plan says weekdays 7am–6pm, 3 enrolled children, one director and two teachers. These are historical, not current operating facts. Ten classroom/float seats do not prove compliant 11-hour coverage.</x:v>
      </x:c>
      <x:c r="C7" s="18" t="str">
        <x:v>Business Plan v1.1 pp. from extracted text lines 72–157, 312–362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00" customHeight="1">
      <x:c r="A8" s="18" t="str">
        <x:v>Rent and rooms</x:v>
      </x:c>
      <x:c r="B8" s="18" t="str">
        <x:v>Actual lease, room sizes and current staffing roster not established. $24/SF is a local comparable, not center rent.</x:v>
      </x:c>
      <x:c r="C8" s="18" t="str">
        <x:v>Business Plan v1.1; latest $1.5M funding and build plan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00" customHeight="1">
      <x:c r="A9" s="18" t="str">
        <x:v>Platform readiness</x:v>
      </x:c>
      <x:c r="B9" s="18" t="str">
        <x:v>Published family resources and store/portal previews do not establish hosted child-data persistence, role separation, operational accreditation or contracted partner revenue. Budget includes acceptance and security work.</x:v>
      </x:c>
      <x:c r="C9" s="18" t="str">
        <x:v>00_START_HERE/audit_detail/BUILT_VS_PLANNED.md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00" customHeight="1">
      <x:c r="A10" s="18" t="str">
        <x:v>Business model</x:v>
      </x:c>
      <x:c r="B10" s="18" t="str">
        <x:v>Family resources, bilingual content, learning kits, daycare/church licensing, training, merchandise and tablets are considered. External rollout costs and sales are not assumed in one-location launch.</x:v>
      </x:c>
      <x:c r="C10" s="18" t="str">
        <x:v>Current project plans and owner instructions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4f630bd02d4405c"/>
  </x:tableParts>
</x:worksheet>
</file>